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 REDEBAN/FACTURACION/2025/AGOSTO/"/>
    </mc:Choice>
  </mc:AlternateContent>
  <xr:revisionPtr revIDLastSave="0" documentId="8_{9EF4C8B0-3EE3-4DC1-BABD-C5F461EBD1B1}" xr6:coauthVersionLast="47" xr6:coauthVersionMax="47" xr10:uidLastSave="{00000000-0000-0000-0000-000000000000}"/>
  <bookViews>
    <workbookView xWindow="28680" yWindow="-120" windowWidth="29040" windowHeight="15720" tabRatio="866" xr2:uid="{00000000-000D-0000-FFFF-FFFF00000000}"/>
  </bookViews>
  <sheets>
    <sheet name="RESUMEN" sheetId="3" r:id="rId1"/>
    <sheet name="BASE DE LIQUIDACION 2025" sheetId="7" state="hidden" r:id="rId2"/>
    <sheet name="Tabla Dinámica" sheetId="55" state="hidden" r:id="rId3"/>
    <sheet name="CIERRES" sheetId="52" r:id="rId4"/>
    <sheet name="TIPOLOGIAS" sheetId="54" state="hidden" r:id="rId5"/>
    <sheet name="CENTRO DE COSTOS" sheetId="53" state="hidden" r:id="rId6"/>
  </sheets>
  <externalReferences>
    <externalReference r:id="rId7"/>
    <externalReference r:id="rId8"/>
    <externalReference r:id="rId9"/>
    <externalReference r:id="rId10"/>
    <externalReference r:id="rId11"/>
  </externalReferences>
  <definedNames>
    <definedName name="_xlnm._FilterDatabase" localSheetId="5" hidden="1">'CENTRO DE COSTOS'!$A$1:$D$23</definedName>
    <definedName name="_xlnm._FilterDatabase" localSheetId="3" hidden="1">CIERRES!$A$1:$AD$107</definedName>
    <definedName name="ACTIVIDAD">[1]Hoja2!$P$2:$P$30</definedName>
    <definedName name="Clientes">[2]Clientes!$A$2:$A$100</definedName>
    <definedName name="COORDINADOR">[1]Hoja2!$D$2:$D$30</definedName>
    <definedName name="Coordinadores">[3]Coordinadores!$A$2:$A$1000</definedName>
    <definedName name="DOCUMENTADOR">[1]Hoja2!$A$2:$A$30</definedName>
    <definedName name="ES">[1]Hoja2!$K$2:$K$30</definedName>
    <definedName name="ESS">[1]Hoja2!$K$2:$K$30</definedName>
    <definedName name="Estado">[2]Formulas!$K$2:$K$5000</definedName>
    <definedName name="ESTADOACTIVIDAD">[1]Hoja2!$M$2:$M$30</definedName>
    <definedName name="ESTADOSCIERRES">'[4]lista desplegable'!$CX$1:$DA$1</definedName>
    <definedName name="Facturacion">'[5]Listas desplegables'!$AO$1:$AR$1</definedName>
    <definedName name="solicitudes">'[5]Listas desplegables'!$U$1:$AF$1</definedName>
    <definedName name="Tecnicos">[2]Tecnicos!$A$2:$A$1000</definedName>
  </definedNames>
  <calcPr calcId="191028"/>
  <pivotCaches>
    <pivotCache cacheId="9309"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52" l="1"/>
  <c r="C46" i="52"/>
  <c r="B47" i="52"/>
  <c r="C47" i="52"/>
  <c r="B48" i="52"/>
  <c r="C48" i="52"/>
  <c r="B49" i="52"/>
  <c r="C49" i="52"/>
  <c r="B50" i="52"/>
  <c r="C50" i="52"/>
  <c r="B51" i="52"/>
  <c r="C51" i="52"/>
  <c r="B52" i="52"/>
  <c r="C52" i="52"/>
  <c r="B53" i="52"/>
  <c r="C53" i="52"/>
  <c r="B54" i="52"/>
  <c r="C54" i="52"/>
  <c r="B55" i="52"/>
  <c r="C55" i="52"/>
  <c r="B56" i="52"/>
  <c r="C56" i="52"/>
  <c r="B57" i="52"/>
  <c r="C57" i="52"/>
  <c r="B58" i="52"/>
  <c r="C58" i="52"/>
  <c r="B59" i="52"/>
  <c r="C59" i="52"/>
  <c r="B60" i="52"/>
  <c r="C60" i="52"/>
  <c r="B61" i="52"/>
  <c r="C61" i="52"/>
  <c r="B62" i="52"/>
  <c r="C62" i="52"/>
  <c r="B63" i="52"/>
  <c r="C63" i="52"/>
  <c r="B64" i="52"/>
  <c r="C64" i="52"/>
  <c r="B65" i="52"/>
  <c r="C65" i="52"/>
  <c r="B66" i="52"/>
  <c r="C66" i="52"/>
  <c r="B67" i="52"/>
  <c r="C67" i="52"/>
  <c r="B68" i="52"/>
  <c r="C68" i="52"/>
  <c r="B69" i="52"/>
  <c r="C69" i="52"/>
  <c r="B70" i="52"/>
  <c r="C70" i="52"/>
  <c r="B71" i="52"/>
  <c r="C71" i="52"/>
  <c r="B72" i="52"/>
  <c r="C72" i="52"/>
  <c r="B73" i="52"/>
  <c r="C73" i="52"/>
  <c r="B74" i="52"/>
  <c r="C74" i="52"/>
  <c r="B75" i="52"/>
  <c r="C75" i="52"/>
  <c r="B76" i="52"/>
  <c r="C76" i="52"/>
  <c r="B77" i="52"/>
  <c r="C77" i="52"/>
  <c r="B78" i="52"/>
  <c r="C78" i="52"/>
  <c r="B79" i="52"/>
  <c r="C79" i="52"/>
  <c r="B80" i="52"/>
  <c r="C80" i="52"/>
  <c r="B81" i="52"/>
  <c r="C81" i="52"/>
  <c r="B82" i="52"/>
  <c r="C82" i="52"/>
  <c r="B83" i="52"/>
  <c r="C83" i="52"/>
  <c r="B84" i="52"/>
  <c r="C84" i="52"/>
  <c r="B85" i="52"/>
  <c r="C85" i="52"/>
  <c r="B86" i="52"/>
  <c r="C86" i="52"/>
  <c r="B87" i="52"/>
  <c r="C87" i="52"/>
  <c r="B88" i="52"/>
  <c r="C88" i="52"/>
  <c r="B89" i="52"/>
  <c r="C89" i="52"/>
  <c r="B90" i="52"/>
  <c r="C90" i="52"/>
  <c r="B91" i="52"/>
  <c r="C91" i="52"/>
  <c r="B92" i="52"/>
  <c r="C92" i="52"/>
  <c r="B93" i="52"/>
  <c r="C93" i="52"/>
  <c r="B94" i="52"/>
  <c r="C94" i="52"/>
  <c r="B95" i="52"/>
  <c r="C95" i="52"/>
  <c r="B96" i="52"/>
  <c r="C96" i="52"/>
  <c r="B97" i="52"/>
  <c r="C97" i="52"/>
  <c r="B98" i="52"/>
  <c r="C98" i="52"/>
  <c r="B99" i="52"/>
  <c r="C99" i="52"/>
  <c r="B100" i="52"/>
  <c r="C100" i="52"/>
  <c r="B101" i="52"/>
  <c r="C101" i="52"/>
  <c r="B102" i="52"/>
  <c r="C102" i="52"/>
  <c r="B103" i="52"/>
  <c r="C103" i="52"/>
  <c r="B104" i="52"/>
  <c r="C104" i="52"/>
  <c r="B105" i="52"/>
  <c r="C105" i="52"/>
  <c r="B106" i="52"/>
  <c r="C106" i="52"/>
  <c r="C3" i="52"/>
  <c r="C4" i="52"/>
  <c r="C5" i="52"/>
  <c r="C6" i="52"/>
  <c r="C7" i="52"/>
  <c r="C8" i="52"/>
  <c r="C9" i="52"/>
  <c r="C10" i="52"/>
  <c r="C11" i="52"/>
  <c r="C12" i="52"/>
  <c r="C13" i="52"/>
  <c r="C14" i="52"/>
  <c r="C15" i="52"/>
  <c r="C16" i="52"/>
  <c r="C17" i="52"/>
  <c r="C18" i="52"/>
  <c r="C19" i="52"/>
  <c r="C20" i="52"/>
  <c r="C21" i="52"/>
  <c r="C22" i="52"/>
  <c r="C23" i="52"/>
  <c r="C24" i="52"/>
  <c r="C25" i="52"/>
  <c r="C26" i="52"/>
  <c r="C27" i="52"/>
  <c r="C28" i="52"/>
  <c r="C29" i="52"/>
  <c r="C30" i="52"/>
  <c r="C31" i="52"/>
  <c r="C32" i="52"/>
  <c r="C33" i="52"/>
  <c r="C34" i="52"/>
  <c r="C35" i="52"/>
  <c r="C36" i="52"/>
  <c r="C37" i="52"/>
  <c r="C38" i="52"/>
  <c r="C39" i="52"/>
  <c r="C40" i="52"/>
  <c r="C41" i="52"/>
  <c r="C42" i="52"/>
  <c r="C43" i="52"/>
  <c r="C44" i="52"/>
  <c r="C45" i="52"/>
  <c r="B3" i="52"/>
  <c r="B4" i="52"/>
  <c r="B5" i="52"/>
  <c r="B6" i="52"/>
  <c r="B7" i="52"/>
  <c r="B8" i="52"/>
  <c r="B9" i="52"/>
  <c r="B10" i="52"/>
  <c r="B11" i="52"/>
  <c r="B12" i="52"/>
  <c r="B13" i="52"/>
  <c r="B14" i="52"/>
  <c r="B15" i="52"/>
  <c r="B16" i="52"/>
  <c r="B17" i="52"/>
  <c r="B18" i="52"/>
  <c r="B19" i="52"/>
  <c r="B20" i="52"/>
  <c r="B21" i="52"/>
  <c r="B22" i="52"/>
  <c r="B23" i="52"/>
  <c r="B24" i="52"/>
  <c r="B25" i="52"/>
  <c r="B26" i="52"/>
  <c r="B27" i="52"/>
  <c r="B28" i="52"/>
  <c r="B29" i="52"/>
  <c r="B30" i="52"/>
  <c r="B31" i="52"/>
  <c r="B32" i="52"/>
  <c r="B33" i="52"/>
  <c r="B34" i="52"/>
  <c r="B35" i="52"/>
  <c r="B36" i="52"/>
  <c r="B37" i="52"/>
  <c r="B38" i="52"/>
  <c r="B39" i="52"/>
  <c r="B40" i="52"/>
  <c r="B41" i="52"/>
  <c r="B42" i="52"/>
  <c r="B43" i="52"/>
  <c r="B44" i="52"/>
  <c r="B45" i="52"/>
  <c r="Z3" i="52"/>
  <c r="Z4" i="52"/>
  <c r="Z5" i="52"/>
  <c r="Z6" i="52"/>
  <c r="Z7" i="52"/>
  <c r="Z8" i="52"/>
  <c r="Z9" i="52"/>
  <c r="Z10" i="52"/>
  <c r="Z11" i="52"/>
  <c r="Z12" i="52"/>
  <c r="Z13" i="52"/>
  <c r="Z14" i="52"/>
  <c r="Z15" i="52"/>
  <c r="Z16" i="52"/>
  <c r="Z17" i="52"/>
  <c r="Z18" i="52"/>
  <c r="Z19" i="52"/>
  <c r="Z20" i="52"/>
  <c r="Z21" i="52"/>
  <c r="Z22" i="52"/>
  <c r="Z23" i="52"/>
  <c r="Z24" i="52"/>
  <c r="Z25" i="52"/>
  <c r="Z26" i="52"/>
  <c r="Z27" i="52"/>
  <c r="Z28" i="52"/>
  <c r="Z29" i="52"/>
  <c r="Z30" i="52"/>
  <c r="Z31" i="52"/>
  <c r="Z32" i="52"/>
  <c r="Z33" i="52"/>
  <c r="Z34" i="52"/>
  <c r="Z35" i="52"/>
  <c r="Z36" i="52"/>
  <c r="Z37" i="52"/>
  <c r="Z38" i="52"/>
  <c r="Z39" i="52"/>
  <c r="Z40" i="52"/>
  <c r="Z41" i="52"/>
  <c r="Z42" i="52"/>
  <c r="Z43" i="52"/>
  <c r="Z44" i="52"/>
  <c r="Z45" i="52"/>
  <c r="Z46" i="52"/>
  <c r="Z47" i="52"/>
  <c r="Z48" i="52"/>
  <c r="Z49" i="52"/>
  <c r="Z50" i="52"/>
  <c r="Z51" i="52"/>
  <c r="Z52" i="52"/>
  <c r="Z53" i="52"/>
  <c r="Z54" i="52"/>
  <c r="Z55" i="52"/>
  <c r="Z56" i="52"/>
  <c r="Z57" i="52"/>
  <c r="Z58" i="52"/>
  <c r="Z59" i="52"/>
  <c r="Z60" i="52"/>
  <c r="Z61" i="52"/>
  <c r="Z62" i="52"/>
  <c r="Z63" i="52"/>
  <c r="Z64" i="52"/>
  <c r="Z65" i="52"/>
  <c r="Z66" i="52"/>
  <c r="Z67" i="52"/>
  <c r="Z68" i="52"/>
  <c r="Z69" i="52"/>
  <c r="Z70" i="52"/>
  <c r="Z71" i="52"/>
  <c r="Z72" i="52"/>
  <c r="Z73" i="52"/>
  <c r="Z74" i="52"/>
  <c r="Z75" i="52"/>
  <c r="Z76" i="52"/>
  <c r="Z77" i="52"/>
  <c r="Z78" i="52"/>
  <c r="Z79" i="52"/>
  <c r="Z80" i="52"/>
  <c r="Z81" i="52"/>
  <c r="Z82" i="52"/>
  <c r="Z83" i="52"/>
  <c r="Z84" i="52"/>
  <c r="Z85" i="52"/>
  <c r="Z86" i="52"/>
  <c r="Z87" i="52"/>
  <c r="Z88" i="52"/>
  <c r="Z89" i="52"/>
  <c r="Z90" i="52"/>
  <c r="Z91" i="52"/>
  <c r="Z92" i="52"/>
  <c r="Z93" i="52"/>
  <c r="Z94" i="52"/>
  <c r="Z95" i="52"/>
  <c r="Z96" i="52"/>
  <c r="Z97" i="52"/>
  <c r="Z98" i="52"/>
  <c r="Z99" i="52"/>
  <c r="Z100" i="52"/>
  <c r="Z101" i="52"/>
  <c r="Z102" i="52"/>
  <c r="Z103" i="52"/>
  <c r="Z104" i="52"/>
  <c r="Z105" i="52"/>
  <c r="Z106" i="52"/>
  <c r="Z2" i="52"/>
  <c r="AC46" i="52"/>
  <c r="AD46" i="52" s="1"/>
  <c r="B2" i="52"/>
  <c r="C2" i="52"/>
  <c r="H10" i="3"/>
  <c r="B9" i="7"/>
  <c r="C6" i="7"/>
  <c r="C5" i="7"/>
  <c r="C4" i="7"/>
  <c r="C3" i="7"/>
  <c r="E5" i="55"/>
  <c r="E6" i="55"/>
  <c r="E7" i="55"/>
  <c r="E8" i="55"/>
  <c r="E9" i="55"/>
  <c r="E10" i="55"/>
  <c r="E4" i="55"/>
  <c r="AC47" i="52" l="1"/>
  <c r="AD47" i="52" s="1"/>
  <c r="AC48" i="52"/>
  <c r="AD48" i="52" s="1"/>
  <c r="AC51" i="52"/>
  <c r="AD51" i="52" s="1"/>
  <c r="AC55" i="52"/>
  <c r="AD55" i="52" s="1"/>
  <c r="AC57" i="52"/>
  <c r="AD57" i="52" s="1"/>
  <c r="AC58" i="52"/>
  <c r="AD58" i="52" s="1"/>
  <c r="AC59" i="52"/>
  <c r="AD59" i="52" s="1"/>
  <c r="AC62" i="52"/>
  <c r="AD62" i="52" s="1"/>
  <c r="AC66" i="52"/>
  <c r="AD66" i="52" s="1"/>
  <c r="AC67" i="52"/>
  <c r="AD67" i="52" s="1"/>
  <c r="AC70" i="52"/>
  <c r="AD70" i="52" s="1"/>
  <c r="AC75" i="52"/>
  <c r="AD75" i="52" s="1"/>
  <c r="AC76" i="52"/>
  <c r="AD76" i="52" s="1"/>
  <c r="AC77" i="52"/>
  <c r="AD77" i="52" s="1"/>
  <c r="AC78" i="52"/>
  <c r="AD78" i="52" s="1"/>
  <c r="AC80" i="52"/>
  <c r="AD80" i="52" s="1"/>
  <c r="AC81" i="52"/>
  <c r="AD81" i="52" s="1"/>
  <c r="AC82" i="52"/>
  <c r="AD82" i="52" s="1"/>
  <c r="AC83" i="52"/>
  <c r="AD83" i="52" s="1"/>
  <c r="AC85" i="52"/>
  <c r="AD85" i="52" s="1"/>
  <c r="AC87" i="52"/>
  <c r="AD87" i="52" s="1"/>
  <c r="AC90" i="52"/>
  <c r="AD90" i="52" s="1"/>
  <c r="AC93" i="52"/>
  <c r="AD93" i="52" s="1"/>
  <c r="AC94" i="52"/>
  <c r="AD94" i="52" s="1"/>
  <c r="AC95" i="52"/>
  <c r="AD95" i="52" s="1"/>
  <c r="AC96" i="52"/>
  <c r="AD96" i="52" s="1"/>
  <c r="AC98" i="52"/>
  <c r="AD98" i="52" s="1"/>
  <c r="AC100" i="52"/>
  <c r="AD100" i="52" s="1"/>
  <c r="AC103" i="52"/>
  <c r="AD103" i="52" s="1"/>
  <c r="AC104" i="52"/>
  <c r="AD104" i="52" s="1"/>
  <c r="AC105" i="52"/>
  <c r="AD105" i="52" s="1"/>
  <c r="AC106" i="52"/>
  <c r="AD106" i="52" s="1"/>
  <c r="AC61" i="52"/>
  <c r="AD61" i="52" s="1"/>
  <c r="AC69" i="52"/>
  <c r="AD69" i="52" s="1"/>
  <c r="AC73" i="52"/>
  <c r="AD73" i="52" s="1"/>
  <c r="AC74" i="52"/>
  <c r="AD74" i="52" s="1"/>
  <c r="AC79" i="52"/>
  <c r="AD79" i="52" s="1"/>
  <c r="AC86" i="52"/>
  <c r="AD86" i="52" s="1"/>
  <c r="AC99" i="52"/>
  <c r="AD99" i="52" s="1"/>
  <c r="AC101" i="52"/>
  <c r="AD101" i="52" s="1"/>
  <c r="AC52" i="52"/>
  <c r="AD52" i="52" s="1"/>
  <c r="AC60" i="52"/>
  <c r="AD60" i="52" s="1"/>
  <c r="AC63" i="52"/>
  <c r="AD63" i="52" s="1"/>
  <c r="AC88" i="52"/>
  <c r="AD88" i="52" s="1"/>
  <c r="AC92" i="52"/>
  <c r="AD92" i="52" s="1"/>
  <c r="AC97" i="52"/>
  <c r="AD97" i="52" s="1"/>
  <c r="AC53" i="52"/>
  <c r="AD53" i="52" s="1"/>
  <c r="AC64" i="52"/>
  <c r="AD64" i="52" s="1"/>
  <c r="AC65" i="52"/>
  <c r="AD65" i="52" s="1"/>
  <c r="AC68" i="52"/>
  <c r="AD68" i="52" s="1"/>
  <c r="AC71" i="52"/>
  <c r="AD71" i="52" s="1"/>
  <c r="AC84" i="52"/>
  <c r="AD84" i="52" s="1"/>
  <c r="AC89" i="52"/>
  <c r="AD89" i="52" s="1"/>
  <c r="AC49" i="52"/>
  <c r="AD49" i="52" s="1"/>
  <c r="AC50" i="52"/>
  <c r="AD50" i="52" s="1"/>
  <c r="AC54" i="52"/>
  <c r="AD54" i="52" s="1"/>
  <c r="AC56" i="52"/>
  <c r="AD56" i="52" s="1"/>
  <c r="AC72" i="52"/>
  <c r="AD72" i="52" s="1"/>
  <c r="AC91" i="52"/>
  <c r="AD91" i="52" s="1"/>
  <c r="AC102" i="52"/>
  <c r="AD102" i="52" s="1"/>
  <c r="AC27" i="52"/>
  <c r="AD27" i="52" s="1"/>
  <c r="AC30" i="52"/>
  <c r="AD30" i="52" s="1"/>
  <c r="AC34" i="52"/>
  <c r="AD34" i="52" s="1"/>
  <c r="AC36" i="52"/>
  <c r="AD36" i="52" s="1"/>
  <c r="AC37" i="52"/>
  <c r="AD37" i="52" s="1"/>
  <c r="AC38" i="52"/>
  <c r="AD38" i="52" s="1"/>
  <c r="AC39" i="52"/>
  <c r="AD39" i="52" s="1"/>
  <c r="AC41" i="52"/>
  <c r="AD41" i="52" s="1"/>
  <c r="AC42" i="52"/>
  <c r="AD42" i="52" s="1"/>
  <c r="AC43" i="52"/>
  <c r="AD43" i="52" s="1"/>
  <c r="AC44" i="52"/>
  <c r="AD44" i="52" s="1"/>
  <c r="AC45" i="52"/>
  <c r="AD45" i="52" s="1"/>
  <c r="AC26" i="52"/>
  <c r="AD26" i="52" s="1"/>
  <c r="AC28" i="52"/>
  <c r="AD28" i="52" s="1"/>
  <c r="AC35" i="52"/>
  <c r="AD35" i="52" s="1"/>
  <c r="AC40" i="52"/>
  <c r="AD40" i="52" s="1"/>
  <c r="AC24" i="52"/>
  <c r="AD24" i="52" s="1"/>
  <c r="AC25" i="52"/>
  <c r="AD25" i="52" s="1"/>
  <c r="AC29" i="52"/>
  <c r="AD29" i="52" s="1"/>
  <c r="AC31" i="52"/>
  <c r="AD31" i="52" s="1"/>
  <c r="AC32" i="52"/>
  <c r="AD32" i="52" s="1"/>
  <c r="AC33" i="52"/>
  <c r="AD33" i="52" s="1"/>
  <c r="AC2" i="52"/>
  <c r="AD2" i="52" s="1"/>
  <c r="AC5" i="52"/>
  <c r="AD5" i="52" s="1"/>
  <c r="AC7" i="52"/>
  <c r="AD7" i="52" s="1"/>
  <c r="AC8" i="52"/>
  <c r="AD8" i="52" s="1"/>
  <c r="AC9" i="52"/>
  <c r="AD9" i="52" s="1"/>
  <c r="AC10" i="52"/>
  <c r="AD10" i="52" s="1"/>
  <c r="AC12" i="52"/>
  <c r="AD12" i="52" s="1"/>
  <c r="AC13" i="52"/>
  <c r="AD13" i="52" s="1"/>
  <c r="AC14" i="52"/>
  <c r="AD14" i="52" s="1"/>
  <c r="AC16" i="52"/>
  <c r="AD16" i="52" s="1"/>
  <c r="AC18" i="52"/>
  <c r="AD18" i="52" s="1"/>
  <c r="AC20" i="52"/>
  <c r="AD20" i="52" s="1"/>
  <c r="AC22" i="52"/>
  <c r="AD22" i="52" s="1"/>
  <c r="AC23" i="52"/>
  <c r="AD23" i="52" s="1"/>
  <c r="AC4" i="52"/>
  <c r="AD4" i="52" s="1"/>
  <c r="AC6" i="52"/>
  <c r="AD6" i="52" s="1"/>
  <c r="AC11" i="52"/>
  <c r="AD11" i="52" s="1"/>
  <c r="AC15" i="52"/>
  <c r="AD15" i="52" s="1"/>
  <c r="AC3" i="52"/>
  <c r="AD3" i="52" s="1"/>
  <c r="AC17" i="52"/>
  <c r="AD17" i="52" s="1"/>
  <c r="AC19" i="52"/>
  <c r="AD19" i="52" s="1"/>
  <c r="AC21" i="52"/>
  <c r="AD21" i="52" s="1"/>
  <c r="AD107" i="52" l="1"/>
  <c r="D6" i="3" s="1"/>
  <c r="A6" i="3"/>
  <c r="I6" i="3" l="1"/>
  <c r="J6" i="3" s="1"/>
  <c r="I7" i="3"/>
  <c r="J7" i="3" s="1"/>
  <c r="F2" i="3" l="1"/>
  <c r="I5" i="3" l="1"/>
  <c r="I10" i="3" s="1"/>
  <c r="J5" i="3" l="1"/>
  <c r="B6" i="3"/>
  <c r="J10" i="3" l="1"/>
  <c r="D7" i="3" s="1"/>
  <c r="D8" i="3" l="1"/>
  <c r="D9" i="3" s="1"/>
  <c r="D10"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Natacha Gutierrez Tamayo</author>
  </authors>
  <commentList>
    <comment ref="C7" authorId="0" shapeId="0" xr:uid="{00000000-0006-0000-0100-000001000000}">
      <text>
        <r>
          <rPr>
            <b/>
            <sz val="9"/>
            <color indexed="81"/>
            <rFont val="Tahoma"/>
            <family val="2"/>
          </rPr>
          <t>Zoom</t>
        </r>
      </text>
    </comment>
  </commentList>
</comments>
</file>

<file path=xl/sharedStrings.xml><?xml version="1.0" encoding="utf-8"?>
<sst xmlns="http://schemas.openxmlformats.org/spreadsheetml/2006/main" count="7732" uniqueCount="1698">
  <si>
    <t>LÍNEA COMUNICACIONES S.A.S</t>
  </si>
  <si>
    <t>FACTURACIÓN CORRESPONSALES BANCARIOS TIQUIETES AÉREOS</t>
  </si>
  <si>
    <t>FACTURACIÓN VISITAS FALLIDAS CORRESPONSALES BANCARIOS</t>
  </si>
  <si>
    <t>AGOSTO 2025</t>
  </si>
  <si>
    <t>CONCEPTOS</t>
  </si>
  <si>
    <t>TRAYECTOS</t>
  </si>
  <si>
    <t>TOTAL</t>
  </si>
  <si>
    <t>% ADMINISTRACIÓN</t>
  </si>
  <si>
    <t>CANT</t>
  </si>
  <si>
    <t>ORDEN DE CAMBIO TA-25-941590</t>
  </si>
  <si>
    <t>PASTO-MOGUI-PASTO</t>
  </si>
  <si>
    <t>TIQUETES</t>
  </si>
  <si>
    <t>SUBTOTAL</t>
  </si>
  <si>
    <t>IVA</t>
  </si>
  <si>
    <t>CIERRE CB - VISITAS FALLIDAS O CIERRES NO EXITOSOS TARIFAS 2024</t>
  </si>
  <si>
    <t>Incremento 2025</t>
  </si>
  <si>
    <t xml:space="preserve">Tipificación </t>
  </si>
  <si>
    <t>Descripción</t>
  </si>
  <si>
    <t xml:space="preserve">Tarifa </t>
  </si>
  <si>
    <t>Tipo I</t>
  </si>
  <si>
    <t>Metropolitano</t>
  </si>
  <si>
    <t>Tipo II</t>
  </si>
  <si>
    <t>Hasta 3 horas</t>
  </si>
  <si>
    <t>Tipo III</t>
  </si>
  <si>
    <t>De 3 a 5 horas</t>
  </si>
  <si>
    <t>Tipo IV</t>
  </si>
  <si>
    <t>Más de 5 horas</t>
  </si>
  <si>
    <t>Trayecto Especial</t>
  </si>
  <si>
    <t>No incluye valor del Tiquete</t>
  </si>
  <si>
    <t>Valor de actividad Tipo IV + Valor tiquete aéreo (o fluvial) + 12% administración)</t>
  </si>
  <si>
    <t>Gestión telefonica</t>
  </si>
  <si>
    <t>COORDINADOR</t>
  </si>
  <si>
    <t>CENTRO DE COSTOS LÍNEACOM</t>
  </si>
  <si>
    <t>%</t>
  </si>
  <si>
    <t>Suma de VALOR TOTAL2</t>
  </si>
  <si>
    <t>NOMBRE CC</t>
  </si>
  <si>
    <t>DIEGO FERNANDO HENAO CARDONA</t>
  </si>
  <si>
    <t>0004-0002</t>
  </si>
  <si>
    <t>0004-0003</t>
  </si>
  <si>
    <t>JOSE MAURICIO HERNANDEZ ROJAS</t>
  </si>
  <si>
    <t>0004-0001</t>
  </si>
  <si>
    <t>JUAN SEBASTIÁN RÍOS CASTRILLÓN</t>
  </si>
  <si>
    <t>0004-0005</t>
  </si>
  <si>
    <t>KEVIN ALEXIS CORZO BUSTOS</t>
  </si>
  <si>
    <t>0004-0007</t>
  </si>
  <si>
    <t>MIGUEL JULIÁN HERNÁNDEZ GUARÍN</t>
  </si>
  <si>
    <t>0004-0008</t>
  </si>
  <si>
    <t>WILLIAM ASDRUBAL ROZO ROZO</t>
  </si>
  <si>
    <t>0004-0004</t>
  </si>
  <si>
    <t>Total general</t>
  </si>
  <si>
    <t>CIUDAD SEDE</t>
  </si>
  <si>
    <t>CÓDIGO DANE</t>
  </si>
  <si>
    <t>TA/CODIGO ACTIVIDAD</t>
  </si>
  <si>
    <t>CODIGO CB</t>
  </si>
  <si>
    <t>ACTIVIDAD</t>
  </si>
  <si>
    <t>DEPARTAMENTO</t>
  </si>
  <si>
    <t>CIUDAD</t>
  </si>
  <si>
    <t xml:space="preserve">NOMBRE  DEL CB </t>
  </si>
  <si>
    <t>RED</t>
  </si>
  <si>
    <t>FO</t>
  </si>
  <si>
    <t>FECHA ASIGNACION A LINEA COMUNICACIONES</t>
  </si>
  <si>
    <t>FECHA DEL CIERRE DEL TICKET (DD/MM/AAAA)</t>
  </si>
  <si>
    <t>ACOMETIDA</t>
  </si>
  <si>
    <t>SOLICITUD</t>
  </si>
  <si>
    <t>DESCRIPCIÓN</t>
  </si>
  <si>
    <t>FORMATO</t>
  </si>
  <si>
    <t>CADENA</t>
  </si>
  <si>
    <t>ESTADO</t>
  </si>
  <si>
    <t>CAUSAL ESTADO</t>
  </si>
  <si>
    <t>OBSERVACION</t>
  </si>
  <si>
    <t>FORMA DE ATENCIÓN</t>
  </si>
  <si>
    <t xml:space="preserve">TERMINAL </t>
  </si>
  <si>
    <t>TIPIFICACION</t>
  </si>
  <si>
    <t>TIPO DE TRAYECTO</t>
  </si>
  <si>
    <t xml:space="preserve">NOMBRE DEL TECNICO </t>
  </si>
  <si>
    <t>DIAS DE VISITA</t>
  </si>
  <si>
    <t>VALOR ACTIVIDAD</t>
  </si>
  <si>
    <t>VALOR TOTAL</t>
  </si>
  <si>
    <t>APARTADO</t>
  </si>
  <si>
    <t>TA-25-899476</t>
  </si>
  <si>
    <t>ORDEN DE CAMBIO</t>
  </si>
  <si>
    <t>CHOCO</t>
  </si>
  <si>
    <t>RIOSUCIO</t>
  </si>
  <si>
    <t>DISTRICOL MAYORISTA LA BODEGA</t>
  </si>
  <si>
    <t>REDEBAN</t>
  </si>
  <si>
    <t>FO-25-1297516</t>
  </si>
  <si>
    <t>CIERRE</t>
  </si>
  <si>
    <t>AGREGADOR</t>
  </si>
  <si>
    <t>DISTRICOL</t>
  </si>
  <si>
    <t>NO_EXITOSO</t>
  </si>
  <si>
    <t>CB NO ENTREGA EQUIPO</t>
  </si>
  <si>
    <t>0
 0
 01-08-2025 SE LLAMA AL CLIENTE PARA AVISAR QUE VAMOS HACER LA VISITA Y NOS INFORMA QUE EN LA VEREDA A LLOVIDO MUCHO Y QUE ESTA DIFICIL EL ACCESO HASTA EL CASERIO DE IGUAL FORMA NOS MANIFESTO QUE EL NO A SOLICITADO EL CIERRE Y QUE NO SE ENCUENTRA EN LA VDA. SE LE INFORMA QUE SE COMUNIQUE AL BANCO.
EL USUARIO NO ENTREGARA EQUIPOS HASTA QUE EL HABLE CON EL BANCO PARA ACLARAR EL PORQUE LE ESTAN CERRANDO EL CB</t>
  </si>
  <si>
    <t>SOPORTE_TELEFÓNICO</t>
  </si>
  <si>
    <t>TIPO IV ESPECIAL</t>
  </si>
  <si>
    <t>SALDARRIAGA MIRANDA SANTIAGO</t>
  </si>
  <si>
    <t>CALI</t>
  </si>
  <si>
    <t>TA-25-906330</t>
  </si>
  <si>
    <t>VALLE DEL CAUCA</t>
  </si>
  <si>
    <t>BARRIO ALCAZAREZ CALI</t>
  </si>
  <si>
    <t>FO-25-1308290</t>
  </si>
  <si>
    <t>CB UNO A UNO</t>
  </si>
  <si>
    <t xml:space="preserve">0
 0
 01-08-2025 SE LLEGA AL COMERCIO SE HABLA CON EL CLIENTE E INDICA QUE EL NO A SOLICITADO EL CIERRE Y QUE NO SE LE A NOTIFICADO QUE VA HABLAR CON EL BANCO PARA VALIDAR </t>
  </si>
  <si>
    <t>VISITA_TÉCNICA</t>
  </si>
  <si>
    <t>NN000790</t>
  </si>
  <si>
    <t>TIPO I</t>
  </si>
  <si>
    <t>CUERO RUIZ JHONNY</t>
  </si>
  <si>
    <t>VILLAVICENCIO</t>
  </si>
  <si>
    <t>TA-25-903370</t>
  </si>
  <si>
    <t>META</t>
  </si>
  <si>
    <t>PUERTO GAITAN</t>
  </si>
  <si>
    <t>BARRIO PUERTO GAITAN BATEAS</t>
  </si>
  <si>
    <t>FO-25-1303399</t>
  </si>
  <si>
    <t>RECUPERACION DE EQUIPOS</t>
  </si>
  <si>
    <t>ILOCALIZADO</t>
  </si>
  <si>
    <t>CB CERRADO - DESOCUPADO</t>
  </si>
  <si>
    <t xml:space="preserve">0
 0
 01-08-2025 SE REALIZA VISITA A COMERCIO CB NO EXISTE NO ES POSIBLE COMUNICACIÓN CON TITULAR ILOCALIZABLE </t>
  </si>
  <si>
    <t>TIPO III</t>
  </si>
  <si>
    <t>CASTRILLON URREA LONDIER LEANDRO</t>
  </si>
  <si>
    <t>IBAGUE</t>
  </si>
  <si>
    <t>TA-25-906329</t>
  </si>
  <si>
    <t>TOLIMA</t>
  </si>
  <si>
    <t>SALDAÑA</t>
  </si>
  <si>
    <t>BARRIO VIA SALDANA GUAMO SALDA</t>
  </si>
  <si>
    <t>FO-25-1308287</t>
  </si>
  <si>
    <t>0
 0
 01-08-2025 SE LLAMA A LA SEÑORA BIBIANA GOMEZ AL NÚMERO DE TELÉFONO 3124662530, ME INDICA QUE ELLA NO VA A ENTREGAR EQUIPOS PORQUE ESTÁ ESPERANDO LA CARTA DE RETIRO DE EFECTY PARA CONTINUAR CON EL CORRESPONSAL. QUE ELLA ESTÁ EN CONTACTO CON LA ASESORA DE BANCOLOMBIA PARA SEGUIR CON EL CORRESPONSAL.</t>
  </si>
  <si>
    <t>TIPO II</t>
  </si>
  <si>
    <t>VARGAS HERRERA JHON JAIRO</t>
  </si>
  <si>
    <t>MEDELLIN</t>
  </si>
  <si>
    <t>TA-25-917392</t>
  </si>
  <si>
    <t>ANTIOQUIA</t>
  </si>
  <si>
    <t>ARMENIA</t>
  </si>
  <si>
    <t xml:space="preserve">366 SAN DIEGO PLAZA OLIMPICA </t>
  </si>
  <si>
    <t>FO-25-1322151</t>
  </si>
  <si>
    <t>RETAIL</t>
  </si>
  <si>
    <t>OLIMPICA</t>
  </si>
  <si>
    <t>EJECUTADO_EXITOSO</t>
  </si>
  <si>
    <t>CIERRE EXITOSO</t>
  </si>
  <si>
    <t>SE REALIZA COMUNICACIÓN CON USUARIO. SE HABLA CON LILIANA GUIZA AL NÚMERO 3203261426. INDICA QUE LA SEMANA PASADA YA LE REALIZARON RETIRO DE EQUIPOS Y QUE YA NO TIENE MAS POR ENTREGAR DEL PUNTO 16613.SE ESCALA A LA RED //1/08 11:55 RESPUESTA DE LA RED: SE DOCUMENTA CASO: EJECUTADO EXITOSO. LA RECUPERACIÓN DE EQUIPOS FUE REALIZADA POR MEDIO DE LA GESTORÍA DE REDEBAN** RESPUESTA DE LA RED 
 0</t>
  </si>
  <si>
    <t>BOGOTA</t>
  </si>
  <si>
    <t>TA-25-906294</t>
  </si>
  <si>
    <t>CUNDINAMARCA</t>
  </si>
  <si>
    <t>DISTRICOL VARIEDADES TIN</t>
  </si>
  <si>
    <t>FO-25-1308178</t>
  </si>
  <si>
    <t>0
 0
 01-08-2025 DURANTE LA VISITA DE TECNICA PARA ATENDER CIERRE DE CORRESPONSAL BANCARIO LO CUAL NO ES POSIBLE PORQUE COMERCIO SE ENCUENTRA CERRADO Y NO SE EVIDENCIA LA EXISTENCIA DEL CB  SE LLAMA AL CELULAR 3505304343 EL CUAL SE ENCUENTRA APAGADO SE PROCEDE AL CIERRE DE LA ACTIVIDAD</t>
  </si>
  <si>
    <t>GALEANO SORIANO JUAN DAVID</t>
  </si>
  <si>
    <t>TA-25-906311</t>
  </si>
  <si>
    <t>TOCANCIPA</t>
  </si>
  <si>
    <t>BARRIO VD LA FUENTE TOCANCIPA</t>
  </si>
  <si>
    <t>FO-25-1308234</t>
  </si>
  <si>
    <t xml:space="preserve">0
 0
 01-08-2025 CIERRE FALLIDO CLIENTE NO REALIZA ENTREGA DE LOS. EQUIPOS POR QUÉ NO LE HABÍA. AVISADO DEL CIERRE. DEL CB Y APARTE MANIFIESTA ESTAR EN UN PROCESO DE CONCILIACIÓN CON EL BANCO </t>
  </si>
  <si>
    <t>7ZZZZ964</t>
  </si>
  <si>
    <t>HERNANDEZ NARANJO OSCAR EDUARDO</t>
  </si>
  <si>
    <t>TUNJA</t>
  </si>
  <si>
    <t>TA-25-906307</t>
  </si>
  <si>
    <t>BOYACA</t>
  </si>
  <si>
    <t>BARRIO COEDUCADORES TUNJA 1</t>
  </si>
  <si>
    <t>FO-25-1317256</t>
  </si>
  <si>
    <t xml:space="preserve">0
 0
 01-08-2025 SE VISITA PUNTO ENCONTRANDO EL COMERCIO CERRADO NÚMERO DE CONTACTO REGISTRADO FUERA DE SERVICIO SE GESTIONAN NÚMEROS EN VISITAS ANTERIORES SE LOGRA CONTACTO CON LA SEÑORA MARGARITA SUÁREZ QUIEN INDICA QUE SE ENCUENTRA REALIZANDO UNAS DILIGENCIAS PERSONALES INFORMA POSIBLE HORA DE ENTREGA EN HORAS PM EL DÍA DE HOY. 
 0
 01-08-2025 SE VISITA PUNTO CLIENTE NO AUTORIZA EL RETIRO DE LOS EQUIPOS INDICAN QUE EL ASESOR DE LA ENTIDAD ESCALÓ EL CASO PARA QUE HABILITEN NUEVAMENTE EL CORRESPONSAL BANCARIO. </t>
  </si>
  <si>
    <t>OA00C217</t>
  </si>
  <si>
    <t>RODRIGUEZ MURCIA YERSON IVAN</t>
  </si>
  <si>
    <t>TA-25-906335</t>
  </si>
  <si>
    <t>BARRIO QUIRIGUA BOGOTQA</t>
  </si>
  <si>
    <t>FO-25-1308309</t>
  </si>
  <si>
    <t>0
 0
 01-08-2025 SE REALIZA VISITA A DIRECCIÓN DE COMERCIO, PERSONA QUE ATIENDE INDICA QUE LA SRA. YOVANA ANDREA GALLEGO LE VENDIÓ EL NEGOCIO, SE REALIZA LLAMADA TELEFÓNICA SE HABLA CON LA CLIENTE Y SE LE INDICA QUE DEBE COMUNICARSE A LA LÍNEA DE CORRESPONSAL BANCOLOMBIA Y SOLICITAR CITA PARA LA ENTREGA DE LOS EQUIPOS EN LA DIRECCIÓN DONDE LOS TENGA.</t>
  </si>
  <si>
    <t>MURCIA HERNANDEZ HARVEY IGNACIO</t>
  </si>
  <si>
    <t>TA-25-906337</t>
  </si>
  <si>
    <t>BARRIO ALAMOS BOGOTA 9</t>
  </si>
  <si>
    <t>FO-25-1308315</t>
  </si>
  <si>
    <t>0
 0
 01-08-2025 SE REALIZA DESPLAZAMIENTO A DIRECCIÓN DE COMERCIO, COMERCIO NO EXISTE, TELÉFONO DE CONTACTO NO FUNCIONA.</t>
  </si>
  <si>
    <t>BUCARAMANGA</t>
  </si>
  <si>
    <t>TA-25-906324</t>
  </si>
  <si>
    <t>SANTANDER</t>
  </si>
  <si>
    <t>EL CARMEN DE CHUCURI</t>
  </si>
  <si>
    <t>BARRIO CENTRO EL CARMEN DE CHUCURI  2</t>
  </si>
  <si>
    <t>FO-25-1308273</t>
  </si>
  <si>
    <t xml:space="preserve">0
 01/08/2025 NO SE LOGRA COMUNICACIÓN CON LA LÍNEA SUMINISTRADA 3125576328, SE TRATA DE REALIZAR LLAMADA Y NO CONTESTA, SE DEJA MENSAJE VÍA CHAT SIN RESPUESTA POR PARTE DEL CLIENTE, SE LE INFORMA A COORDINADOR.
01/08/2025  NO SE LOGRA COMUNICACIÓN CON LA LÍNEA SUMINISTRADA 3125576328-3125249927 , SE TRATA DE REALIZAR LLAMADA Y NO CONTESTA, SE DEJA MENSAJE VÍA CHAT SIN RESPUESTA POR PARTE DEL CLIENTE, SE LE INFORMA A COORDINADOR.
 02-08-2025 EN COMUNICACIÓN CON LA SEÑORA YEIMI VÍA CHAT A LA LINEA 3125576328, INDICA QUE VA HABLAR CON EL ASESOR PARA PODER GESTIONAR LA REACTIVACION DEL SERVICIO,SE LE INFORMA QUE TENDRÁ QUE GESTIONAR UNA NUEVA VISITA PARA RECOGER LOS EQUIPOS EN DADO CASO NO SE PUEDA REACTIVAR EL CB. </t>
  </si>
  <si>
    <t>TIPO IV</t>
  </si>
  <si>
    <t>SANTOS GONZALEZ JOHAN FABIAN</t>
  </si>
  <si>
    <t>TA-25-906334</t>
  </si>
  <si>
    <t>BARRIO PINAR BOGOTA</t>
  </si>
  <si>
    <t>FO-25-1308307</t>
  </si>
  <si>
    <t>0
 02/08/2025 SE LLAGA A LA DIRECCIÓN CLIENTE MANIFIESTA QUE BANCOLOMBIA TIENE UN SALDO DE EL Y QUE CON BANCOLOMBIA SE HABIA LLEGADO AL ACUERDO QUE CUANDO LE RETORNARAN EL SALDO SE RECOJIAN LOS EQUIPOS ENTONCES NO ENTREGA EQUIPOS
 02-08-2025 SE LLAGA A LA DIRECCIÓN CLIENTE MANIFIESTA QUE BANCOLOMBIA TIENE UN SALDO DE EL Y QUE CON BANCOLOMBIA SE HABIA LLEGADO AL ACUERDO QUE CUANDO LE RETORNARAN EL SALDO SE RECOJIAN LOS EQUIPOS ENTONCES NO ENTREGA EQUIPOS. NO DA MAS INFORMACIÓN.</t>
  </si>
  <si>
    <t>SOTO MUNAR DYLAN DAVID</t>
  </si>
  <si>
    <t>TA-25-899547</t>
  </si>
  <si>
    <t>PTM BOGOTA  DISTRI CASTEL SAS</t>
  </si>
  <si>
    <t>FO-25-1297618</t>
  </si>
  <si>
    <t>COMCARD - PTM</t>
  </si>
  <si>
    <t>0
 02/08/2025 SE INTENTA LLAMAR AL CLIENTE Y NO CONTESTA, DE ESCRIBE POR WHATSAPP Y TAMPCO AHI RESPUESTA , AL LLEGAR AL PUNTO SE ENCUENTRA CERRADO
 02-08-2025 SE INTENTA LLAMAR AL CLIENTE Y NO CONTESTA, DE ESCRIBE POR WHATSAPP Y TAMPCO AHI RESPUESTA , AL LLEGAR AL PUNTO SE ENCUENTRA CERRADO</t>
  </si>
  <si>
    <t>O</t>
  </si>
  <si>
    <t>NEIVA</t>
  </si>
  <si>
    <t>TA-25-906315</t>
  </si>
  <si>
    <t>HUILA</t>
  </si>
  <si>
    <t>RIVERA</t>
  </si>
  <si>
    <t>BARRIO CENTRO BAJO RIVERA 1</t>
  </si>
  <si>
    <t>FO-25-1308245</t>
  </si>
  <si>
    <t>SOLICITUD_CANCELADA</t>
  </si>
  <si>
    <t>CANCELADO POR LA ENTIDAD</t>
  </si>
  <si>
    <t>0
 0
 02-08-2025 SE LLEGA A SITIO, NO SE ENCUENTRA NADIE EN LA CASA, SE LLAMA A NÚMERO DE CONTACTO 3207128409 PERO NO RESPONDEN.</t>
  </si>
  <si>
    <t>DIAZ VARGAS JONATHAN MIGUEL</t>
  </si>
  <si>
    <t>TA-25-906316</t>
  </si>
  <si>
    <t>BARRIO RECREO VILLAVICENCIO 2</t>
  </si>
  <si>
    <t>FO-25-1308249</t>
  </si>
  <si>
    <t>0
 0
 04-08-2025 SE REALIZA VISITA Y ENCARGADO INFORMA QUE NO TIENE CONOCIMIENTO QUE TOCA COMUNICARSE CON LOS DUEÑOS YA QUE ELLOS VENDIERON EL.NEGOCIO</t>
  </si>
  <si>
    <t>PEDREROS CONTRERAS MICHAEL STEVENS</t>
  </si>
  <si>
    <t>TA-25-899458</t>
  </si>
  <si>
    <t>NECOCLI</t>
  </si>
  <si>
    <t>DISTRICOL LA 44 DE DORKI</t>
  </si>
  <si>
    <t>FO-25-1297487</t>
  </si>
  <si>
    <t xml:space="preserve">0
 0
 04-08-2025 SE LLAMA AL USUARIO PARA PROGRAMAR LA VISITA, EL USUARIO NOS MANIFIESTA QUE NO NOS PUEDE ANTENDER Y QUE VA A COMUNICARCE CON LA ALIANZA DISTRICOL PARA CAMBIAR EL MODO DEL CORRESPONSAL A PREPAGO. </t>
  </si>
  <si>
    <t>TA-25-899462</t>
  </si>
  <si>
    <t>TURBO</t>
  </si>
  <si>
    <t>DISTRICOL PAPELERIA BEERM</t>
  </si>
  <si>
    <t>FO-25-1297489</t>
  </si>
  <si>
    <t>0
 0
 04-08-2025 USUARIO MANIFIESTA QUE YA HIZO LA ENTREGA DEL COMERCIO Y ENVIO LOS EQUIPOS A DISTRICOL MEDELLIN. NOS COMPARTE EVIDENCIA DE LOS EQUIPOS Y GUIA DEL ENVIO</t>
  </si>
  <si>
    <t>TA-25-899457</t>
  </si>
  <si>
    <t>COCORNA</t>
  </si>
  <si>
    <t>DISTRICOL VARIEDADES ARCO IRIS</t>
  </si>
  <si>
    <t>FO-25-1297476</t>
  </si>
  <si>
    <t xml:space="preserve">
 0
 04-08-2025 SE VISITA COMERCIO PERO ESTA DESOCUPADO, SE LLAMA AL NÚMERO INDICADO PERO LA SEÑORA VERÓNICA CANO INDICA QUE ELLA VA A ENTREGAR ELLA MISMA EL DATAFONO EN LAS OFICINAS DE DISTRICOL </t>
  </si>
  <si>
    <t>RUA ALVAREZ RICHARD ANDRES</t>
  </si>
  <si>
    <t>TA-25-906341</t>
  </si>
  <si>
    <t>COGUA</t>
  </si>
  <si>
    <t>BARRIO CENTRO COGUA 2</t>
  </si>
  <si>
    <t>FO-25-1308339</t>
  </si>
  <si>
    <t xml:space="preserve">
 0
 04-08-2025 SE LLEGA A DIRECCIÓN REFERENCIADA EN ORDEN DE TRABAJO CL 1 B # 14 A - 2 SE GOLPEA. Y SE TIMBRA NADIE SALE, SE REALIZA INTENTOS DE COMUNICACIÓN CON CLIENTE RAFAEL RAMOS A NI.E REGISTRADO 3144520647 EL CUAL INFORMA QUE EN EL MOMENTO NO SE ENCUENTRA NADIE Y DAMAS . INFORMA QUE PARA PRÓXIMA VISITA QUE POR FAVOR PASAR DESPUÉS DE 2 DE LA TARDE Y LLAMAR CON ANTICIPACIÓN SE ESCALA Y SE CIERRA </t>
  </si>
  <si>
    <t>ORTIZ MARTINEZ STIVEN</t>
  </si>
  <si>
    <t>CARTAGENA</t>
  </si>
  <si>
    <t>TA-25-904648</t>
  </si>
  <si>
    <t>BOLIVAR</t>
  </si>
  <si>
    <t>BARRIO LA CORDIALIDAD CARTAGEN</t>
  </si>
  <si>
    <t>FO-25-1305901</t>
  </si>
  <si>
    <t>PARCIAL EXITOSO PTE. DATAFONO</t>
  </si>
  <si>
    <t xml:space="preserve">30-07 DE ACUERDO A COMUNICACIÓN DE CONTACTO DE CB  43018 SR JAVIER DIAZ, CON COLABORADOR DE LINEA, INDICA QUE YA CUENTA CON LOS EQUIPOS PARA REALIZAR LOS CIERRES, ÉSTOS TENÍAN ORDEN DE CIERRE DESDE EL PASADO MES DE ABRIL, PERO NO ENTREGARON LOS EQUIPOS EN ESA FECHA
 0
 30-07-2025 SE REALIZA CIERRE DEL CB CLIENTE ENTREGA EQUIPO LECTORA HUB NO ENTREGA PUBLICIDAD HACE FALTA UNOS EQUIPOS LOS VAN A BUSCAR Y AVISAN CUANDO YA LOS TENGA PARA VENIRLOS A RECOGER </t>
  </si>
  <si>
    <t>AB9ZZ980</t>
  </si>
  <si>
    <t>CANEDO HERRERA ALEXANDER</t>
  </si>
  <si>
    <t>TA-25-906338</t>
  </si>
  <si>
    <t>BARRIO LA MADRID VILLAVICENCIO</t>
  </si>
  <si>
    <t>FO-25-1308322</t>
  </si>
  <si>
    <t xml:space="preserve">
 05/08/2025 SE REALIZA GESTIÓN TELEFÓNICA AL NÚMERO 6044619700 EL CUAL CONTESTA EL SEÑOR CARLOS OCAMPO CON CÉDULA 70326497 HIJO DE LA SEÑORA ROCÍO ARENAS DE OCAMPO Y MANIFIESTA QUE POR FAVOR REALIZAR LA RECOGIDA EL DÍA DE MAÑANA EN MEDELLÍN EN LA DIRECCIÓN CL.53 # 78-121 EN LOS EDIFICIOS PALMAR DE LOS COLORES, EL VIGILANTE ENTREGA LOS EQUIPOS.
 05-08-2025 SE REALIZA GESTIÓN TELEFÓNICA AL NÚMERO 6044619700 EL CUAL CONTESTA EL SEÑOR CARLOS OCAMPO CON CÉDULA 70326497 HIJO DE LA SEÑORA ROCÍO ARENAS DE OCAMPO Y MANIFIESTA QUE POR FAVOR REALIZAR LA RECOGIDA EL DÍA DE MAÑANA EN MEDELLÍN EN LA DIRECCIÓN CL.53 # 78-121 EN LOS EDIFICIOS PALMAR DE LOS COLORES, EL VIGILANTE ENTREGA LOS EQUIPOS.</t>
  </si>
  <si>
    <t>PASTO</t>
  </si>
  <si>
    <t>TA-25-906320</t>
  </si>
  <si>
    <t>NARIÑO</t>
  </si>
  <si>
    <t>BELEN</t>
  </si>
  <si>
    <t>BARRIO AV LOS ESTUDIANTES BELE</t>
  </si>
  <si>
    <t>FO-25-1308262</t>
  </si>
  <si>
    <t>0
 0
 06-08-2025 SE HABLA CON EL SEÑOR MILCIADES QUIEN INDICA QUE SE ENCUENTRA EN UN PROCESO DE VALIDACION CON LA ENTIDAD PARA LA CONTINUIDAD DEL CORRESPONAL, POR TANTO POR AHORA NO DESEA LA ENTREGA DEL LOS EQUIPOS PUES ESTA EN ESPERA DE VALIDACIONES Y RESPUESTA DE LA ENTIDAD ANTE LA PETICION.</t>
  </si>
  <si>
    <t>HENAO CARDONA DIEGO FERNANDO</t>
  </si>
  <si>
    <t>CUCUTA</t>
  </si>
  <si>
    <t>TA-25-924046</t>
  </si>
  <si>
    <t>NORTE DE SANTANDER</t>
  </si>
  <si>
    <t>DISTRICOL CENTROPAG</t>
  </si>
  <si>
    <t>FO-25-1332781</t>
  </si>
  <si>
    <t xml:space="preserve">
 0
 06-08-2025 SE VISITA COMERCIO, PERSONA EN SITIO DICE QUE NO ESTA AUTORIZADA PARA ATENDER VISITA YA QUE NO ES LA DUEÑA, SE COMUNICA CON EL CLIENTE A LOS NUMEROS INDICADOS NO SE RESIVE RESPUESTA, SIN COMUNICACION.</t>
  </si>
  <si>
    <t>MN00C096</t>
  </si>
  <si>
    <t>NARANJO AFANADOR RUBEN JESUS</t>
  </si>
  <si>
    <t>TA-25-924053</t>
  </si>
  <si>
    <t>DISTRICOL BEATIFUL NAILS</t>
  </si>
  <si>
    <t>FO-25-1332800</t>
  </si>
  <si>
    <t xml:space="preserve">
 0
 06-08-2025 SE REALIZA VISITA AL PUNTO SE EVIDENCIA COEMECIO CERRADO, EN COMUNICACIÓN CON EL CLIENTE LA SEÑORA DANIELA RUBIANO, AL NÚMERO +57 322 3100611, INDICA QUE NO CUENTA CON LOS EQUIPOS, YA QUE LOS ENVIARON A LAS OFICINAS DE DISTRICOL EN MEDELLÍN, </t>
  </si>
  <si>
    <t>DEVIA REINOSO JUAN CARLOS</t>
  </si>
  <si>
    <t>SANTA MARTA</t>
  </si>
  <si>
    <t>TA-25-941588</t>
  </si>
  <si>
    <t>MAGDALENA</t>
  </si>
  <si>
    <t>EL RETEN</t>
  </si>
  <si>
    <t>PTM EL RETEN SERVIFRIOMAR</t>
  </si>
  <si>
    <t>FO-25-1345215</t>
  </si>
  <si>
    <t xml:space="preserve">0
 0
 08-08-2025 SE HACE GESTIÓN TELEFÓNICA, EL USUARIO NO RESPONDE LAS.LLAMDAS, SE REALIZA LA VISITA, NO SE HAYA EL CORRESPONSAL EN EL PUNTO  SE VALIDA LA UBICACIÓN DEL SITIO CON EL COORDINADOR PERO EN EL SITIO NO HAY CORRESPONSAL INSTALADO Y NADIE DA RAZÓN DEL USUARIO NI DEL CORRESPONSAL </t>
  </si>
  <si>
    <t>THOMAS  CAMPO SIGIFREDO SEGUNDO</t>
  </si>
  <si>
    <t>TA-25-941582</t>
  </si>
  <si>
    <t>JAMUNDI</t>
  </si>
  <si>
    <t>BARRIO JAMUNDI VALLE DEL CAUCA</t>
  </si>
  <si>
    <t>FO-25-1345200</t>
  </si>
  <si>
    <t xml:space="preserve">0
 0
 09-08-2025 SE VISITA CORRESPONSAL Y SE ENCONTRÓ CERRADO, SE LLAMA AL CONTACTO EN REPETIDAS OCASIONES NO CONTESTA. </t>
  </si>
  <si>
    <t>MN0SZ859</t>
  </si>
  <si>
    <t>BOLAÑOS TABORDA JORGE ENRIQUE</t>
  </si>
  <si>
    <t>TA-25-948860</t>
  </si>
  <si>
    <t>BARRIO CENTRO NEIVA 3</t>
  </si>
  <si>
    <t>FO-25-1353510</t>
  </si>
  <si>
    <t xml:space="preserve">0
 0
 09-08-2025 SE LLEGA AL PUNTO , LOCAL VACÍO Y DISPONIBLE , SE PREGUNTA A VIGILANTE DEL EDIFICIO COMENTANDO QUE LLEVA MUCHO TIEMPO VACÍO , SE LLAMA AL NÚMERO NO CONTESTA , SE ESCRIBE POR WHATSAPP NO HAY RESPUESTA </t>
  </si>
  <si>
    <t>17ZZZ823</t>
  </si>
  <si>
    <t>ANDRADE HERNANDEZ JUAN CARLOS</t>
  </si>
  <si>
    <t>TA-25-948862</t>
  </si>
  <si>
    <t>BARRIO CENTRO NEIVA 5</t>
  </si>
  <si>
    <t>FO-25-1353516</t>
  </si>
  <si>
    <t>0
 0
 09-08-2025 SE REALIZA VISITA A LA DIRECCIÓN INDICADA EN LA ORDEN, SE EVIDENCIARÁ COMERCIO ESTÁ CERRADO , SE INTENTA COMUNICACIÓN A NÚMERO INDICADO EN LA ORDEN PERO NO HAY REPSUESTA.</t>
  </si>
  <si>
    <t>TA-25-948861</t>
  </si>
  <si>
    <t>BARRIO CENTRO NEIVA 4</t>
  </si>
  <si>
    <t>FO-25-1353513</t>
  </si>
  <si>
    <t>TA-25-924060</t>
  </si>
  <si>
    <t>CAQUETA</t>
  </si>
  <si>
    <t>PUERTO RICO</t>
  </si>
  <si>
    <t>BARRIO SIETE DE AGOSTO PUERTO RICO</t>
  </si>
  <si>
    <t>FO-25-1332827</t>
  </si>
  <si>
    <t>0
 0
 11-08-2025 SE LLEGA AL ESTABLECIMIENTO PERO SE ENCUENTRA CERRADO Y DESOCUPADO, SE PREGUNTA A LAS PERSONAS DEL SECTOR Y MANIFIESTA QUE SE FUERON DE AHÍ DEL LUGAR, SE LLAMA Y SE ESCRIBE AL NÚMERO DE LA TA PERO NADIE RESPONDE, CIERRE FALLIDO.</t>
  </si>
  <si>
    <t>10LZZ966</t>
  </si>
  <si>
    <t>BERMUDEZ SANCHEZ JOSE NEYBER</t>
  </si>
  <si>
    <t>TA-25-948868</t>
  </si>
  <si>
    <t>NATAGAIMA</t>
  </si>
  <si>
    <t>BARRIO  CENTRO NATAGAIMA</t>
  </si>
  <si>
    <t>FO-25-1361975</t>
  </si>
  <si>
    <t xml:space="preserve">0
 0
 11-08-2025 SE LLEGA AL SITIO COMERCIO CERRADO , VECINOS MANIFIESTA QUE EL ALMACÉN FUE RECOGIDO Y LLEVADO A IBAGUÉ, SE MARCA AL CELULAR NO CONTESTA, SE ESCRIBE POR WHATSAPP NO HAY RESPUESTA , CLIENTE EN EL ÚLTIMO MINUTO DA RESPUESTA COMENTANDO QUE LOS EQUIPOS ESTÁN EN EL MUNICIPIO DE SALDAÑA , QUE SI PODEMOS RECOGERLOS ALLÍ SE ESCALA AL JEFE INMEDIATO DONDE AUTORIZA DESPLAZARNOS HASTA SALDAÑA.
 0
 11-08-2025 CLIENTE ENTREGA DATAFONO , LECTOR DE BARRAS,CABLE MAGIC BOX, FUENTE DE PODER DATÁFONO Y CABLE DE RED , PUBLICIDAD Y ROLLOS NO HAY </t>
  </si>
  <si>
    <t>V100C094-A406Z663</t>
  </si>
  <si>
    <t>TA-25-948865</t>
  </si>
  <si>
    <t>BARRIO DOCE DE OCTUBRE VILLAVI</t>
  </si>
  <si>
    <t>FO-25-1353528</t>
  </si>
  <si>
    <t xml:space="preserve">0
 0
 12-08-2025 SE REALIZA VISITA A LA DIRECCIÓN DE CB Y COMERCIO NO EXISTE, SE PREGUNTA EN LA DIRECCION Y NOS INFORMAN NO CONOCER AL SEÑOR OSCAR VARGAS </t>
  </si>
  <si>
    <t>TA-25-948870</t>
  </si>
  <si>
    <t>PALMIRA</t>
  </si>
  <si>
    <t>BARRIO EL CENTRO PALMIRA</t>
  </si>
  <si>
    <t>FO-25-1353541</t>
  </si>
  <si>
    <t>0
 0
 11-08-2025 EN LA VISITA TÉCNICA SE ENCONTRÓ EL LUGAR CERRADO, SE REALIZÓ GESTIÓN TELEFÓNICA Y LA USUARIA INFORMA QUE ÉL CB YA NO EXISTE EN ESTE LUGAR INFORMA QUE ELLA PIDIÓ UN TRASLADO, NO UN CIERRE, ADICIONAL NO PUEDE ATENDER PORQUE NO SE ENCUENTRA</t>
  </si>
  <si>
    <t>SANCHEZ URREGO ROBINSON DAVID</t>
  </si>
  <si>
    <t>TA-25-941581</t>
  </si>
  <si>
    <t>BUENAVENTURA</t>
  </si>
  <si>
    <t>BARRIO BAHIA MALAGA</t>
  </si>
  <si>
    <t>FO-25-1345197</t>
  </si>
  <si>
    <t>0
 0
 12-08-2025 SE REALIZA LLAMADA A LOS NUMEROS A LA SEÑORA LIZETH , CONTESTA PERO INDICA NO TENER CONOCIMIENTO DE QUE LE HABLAMOS NI DE NINGUN CORRESPONSAL BANCARIA EN BAHIA MALAGA, SE BUSCAN MAS NUMEROS DE CONTACTO , SE ENCUENTRA EL NUMERO 3153841106, LA PERSONA QUE CONTESTA NO DA EL NOMBRE INDICA QUE ELLA YA NO TRABAJA  CON EL SEÑOR EDWIN MANZUERA QUIEN ERA EL ENCARGADO DEL CORRESPONSAL INDCIA QUE ELLOS SE FUERON DE LA ISLA SIN DAR RAZON Y SIN PAGARLES , NO TIENE CONOCIMIENTO DE DONDE ESTAN LOS EQUIPOS PUES ALLA EN LA ISLA YA NO HAY NADA, NOS DA EL NUMERO DE CONTACTO DEL SEÑOR EDWIN PERO NO HA SIDO POSIBLE ENTABLAR COMUNICACION.</t>
  </si>
  <si>
    <t>TA-25-948867</t>
  </si>
  <si>
    <t>BARRIO PRADERAS DE SANTA RITA</t>
  </si>
  <si>
    <t>FO-25-1353534</t>
  </si>
  <si>
    <t xml:space="preserve">0
 0
 12-08-2025 SE LLEGA ALA DIRECCIÓN INDICADA EVIDENCIA QUE ESTÁ CERRADO SE COMUNICA TELEFÓNICAMENTE,CON LA SEÑORITA MARIA DE LOS MILAGROS LOZANO AL TELÉFONO 3154255999 QUIEN MANIFIESTA QUE NO SOLICITO CIERRE ELLA SOLICITO ES UN TRASLADO,SE ESTARÁ COMUNICANDO CON LA ASERSOR(A)DE LA ENTIDAD ,PARA VALIDAR EL POR QUÉ DEL CIERRE 
USUARIO NO PERMITE EL CIERRE </t>
  </si>
  <si>
    <t>GUTIERREZ  CAMILO ANDRES</t>
  </si>
  <si>
    <t>TA-25-941578</t>
  </si>
  <si>
    <t>COLON</t>
  </si>
  <si>
    <t>BARRIO LA MILAGROSA CORR DE VI</t>
  </si>
  <si>
    <t>FO-25-1345190</t>
  </si>
  <si>
    <t>0
 0
 12-08-2025 SE HABLA CON LA SEÑORA MARIA, QUIEN INDICA QUE ELLA TIENE LOS EQUIPOS PAR ENTREGAR PERO NO ESTA EN LA VEREDA, INDICA QUE ELLA ESTARA LA PROXIMA SEMANA EN LA CIUDAD  DE PASTO Y SE CONTACTARA CON NOSOTROS PARA LA ENTREGA, SE PROCEDE A CERRAR VISITA POR VENCIMIENTO A LA ESPERA DE CONTACTO DEL CLIENTE PARA GESTIONAR NUEVO CIERRE.</t>
  </si>
  <si>
    <t>TA-25-941591</t>
  </si>
  <si>
    <t>GUALMATAN</t>
  </si>
  <si>
    <t>PTM  GUALMATAN  PUNTOSERVIS GU</t>
  </si>
  <si>
    <t>FO-25-1345223</t>
  </si>
  <si>
    <t>0
 0
 12-08-2025 SE REALIZA LLAMADA CONTESTA UNA PERSONA QUE SE NIEGA A DAR EL NOMBRE, SE LE INDICA QUE ES PARA EL CIERRE DEL CORRESPONSAL , INDICA QUE YA NO TIENE CONTACTO NI NADA QUE VER CON EL, QUE ESO SE CERRO HACE MUCHO, Y SEGUN ELLA TODO FUE DEVUELTO, NO NOS ENTREGA MAS INFORMACION, SE LE SOLICITA OTRO NUMERO DE CONTACTO NO NOS LO SUMINISTRA,  SE LE PREGUNTA SI HAY EXISTE EL LOCAL EN EL MUNICIPIO INDICA QUE NO, SE CIERRE EL CASO.</t>
  </si>
  <si>
    <t>TA-25-948872</t>
  </si>
  <si>
    <t>TULUA</t>
  </si>
  <si>
    <t>BARRIO EL CENTRO TULUA 1</t>
  </si>
  <si>
    <t>FO-25-1353543</t>
  </si>
  <si>
    <t xml:space="preserve">0
 0
 12-08-2025 SE VISITÓ Y SE ENCONTRÓ LOCAL CERRADO. SE LLAMA AL CONTACTO EN REPETIDAS OCASIONES  Y NO CONTESTA. </t>
  </si>
  <si>
    <t>A40NZ752</t>
  </si>
  <si>
    <t>MONTERIA</t>
  </si>
  <si>
    <t>TA-25-948859</t>
  </si>
  <si>
    <t>CORDOBA</t>
  </si>
  <si>
    <t>BARRIO URBANIZACION VALLEJO MONTERIA 8</t>
  </si>
  <si>
    <t>FO-25-1353504</t>
  </si>
  <si>
    <t xml:space="preserve">0
 0
 12-08-2025 VISITA FALLIDA, LA PERSONA EN SITIO NO TIENE AUTORIZACIÓN DE ENTREGAR LOS EQUIPOS.CLIENTE NO LOGRA COMUNICARSE CON EL PROPIETARIO PARA LE DE EL AVAL DEL CIERRE </t>
  </si>
  <si>
    <t>CALDERA SALCEDO CARLOS JULIO</t>
  </si>
  <si>
    <t>TA-25-963282</t>
  </si>
  <si>
    <t>PTM BOGOTA COMERCIALIZADORA Y</t>
  </si>
  <si>
    <t>FO-25-1365303</t>
  </si>
  <si>
    <t>CAMBIO DE RAZÓN SOCIAL</t>
  </si>
  <si>
    <t>0
 0
 12-08-2025 SE VISITA COMERCIO POR CIERRE DE PUNTO POR CAMBIO DE RAZÓN  SOCIAL YA QUE SE INSTALA CB 80935. PERO EN MEDIO DE LA INSTALACIÓN ENTIDAD BANCARIA NO AUTORIZA EL PROCESO DE APERTURA Y SOLICITA RECOGER EQUIPOS DE DICHO CAMBIO DE RAZÓN SOCIAL POR ENDE LA CLIENTE YA NO REALIZARÁ ENTREGA DEL CB MIENTRAS RECIBE RESPUESTA DEL NUEVO CB Y SE COMPLETA CIERRE SIN MÁS NOVEDAD</t>
  </si>
  <si>
    <t>10RZZ176;10RZZ139</t>
  </si>
  <si>
    <t>ROMERO ROJAS BREIDY JHOHAN</t>
  </si>
  <si>
    <t>TA-25-922763</t>
  </si>
  <si>
    <t>FIRAVITOBA</t>
  </si>
  <si>
    <t>FIRAVITOBA - BOYACA</t>
  </si>
  <si>
    <t>FO-25-1331390</t>
  </si>
  <si>
    <t>0
 12/08/2025 SE RECIBE FO YA RECHAZADO POR CENTRO DE GESTIÓN EN EL FO CONTROL DE VISITA
 12-08-2025 SE HACE PRESENCIA EN EL PUNTO Y SE IDENTIFICA QUE EL COMERCIO NO TIENE INTENCIÓN DE RETIRO. SE VERIFICA QUE CUENTA CON EL INVENTARIO COMPLETO SOLICITADO CON REDEBAN.
SE PROCEDE A EJECUTAR EL PROCESO DE LEGALIZACIÓN DE ACTIVOS, YA QUE LA LECTORA CON SERIAL 805654 PERTENECE AL PUNTO VISITADO, AUNQUE FUE RETIRADA PREVIAMENTE EN EL CB: 3007046009 - PTM LA BELLEZA ACEITES Y LUB, CON LA TA: 25-899497.
DE ACUERDO CON LA INFORMACIÓN SUMINISTRADA POR REDEBAN, SE DEJA EL ACTIVO LEGALIZADO EN EL PUNTO ACTUAL.</t>
  </si>
  <si>
    <t>ALVARADO MORENO CRISTHIAN</t>
  </si>
  <si>
    <t>TA-25-948863</t>
  </si>
  <si>
    <t>PITALITO</t>
  </si>
  <si>
    <t>BARRIO CENTRO PITALITO 1</t>
  </si>
  <si>
    <t>FO-25-1353520</t>
  </si>
  <si>
    <t xml:space="preserve">0
 0
 13-08-2025 SE REALIZA VISITA AL PUNTO, PERSONA ENCARGADA INDICA QUE NO ESTA TIENE CONTACTO CON EL TITULAR E INDICA QUE ESOS EQUIPOS YA FUERON RETIRADOS DE ESA DIRECCION . </t>
  </si>
  <si>
    <t>NONE</t>
  </si>
  <si>
    <t>TA-25-941579</t>
  </si>
  <si>
    <t>BARRIO CATUMARE VILLAVICENCIO 1</t>
  </si>
  <si>
    <t>FO-25-1345194</t>
  </si>
  <si>
    <t xml:space="preserve">0
 0
 13-08-2025 SE VISITA DIRECCIÓN DE COMERCIO PERO LA LLEGAR AL SITIO EL COMERCIO MO EXISTE..VECINOS INFORMAN QUE LA DOREGURIA LA QUITARON HCE VARIAS SEMANAS. SE LLAMA AL NÚMERO PERO PSA. A BUZÓN DE VOZ. NO ES POSIBLE CONTACTAR AL CLIENTE </t>
  </si>
  <si>
    <t>GARZON RUIZ LUIS MIGUEL</t>
  </si>
  <si>
    <t>TA-25-948846</t>
  </si>
  <si>
    <t>MARINILLA</t>
  </si>
  <si>
    <t>DISTRICOL PAPELERIA Y REMATES</t>
  </si>
  <si>
    <t>FO-25-1353462</t>
  </si>
  <si>
    <t xml:space="preserve">0
 0
 14-08-2025 SE VISITÓ CORRESPONSAL LA SEÑORA LILIANA NOS INFORMA QUE PERSONAL DE DISTRICOL RECOGÍO EL EQUIPO </t>
  </si>
  <si>
    <t>CASTAÑEDA PALACIO CARLOS FELIPE</t>
  </si>
  <si>
    <t>TA-25-941593</t>
  </si>
  <si>
    <t>PTM IBAGUE PAPELERIA NELLA</t>
  </si>
  <si>
    <t>FO-25-1345226</t>
  </si>
  <si>
    <t>SIN CONTACTO CON EL CB</t>
  </si>
  <si>
    <t>0
 0
 14-08-2025 SE LLAMA A LA SEÑORA ALEXANDRA BOCANEGRA, AL NÚMERO 3152871429 Y NO CONTESTA. SE ESCRIBE POR WHATSAPP AL MISMO NÚMERO 3152871429, SIN ENCONTRAR RESPUESTA, LE LLEGA LOS MENSAJES PERO NO LOS VE. LA DIRECCIÓN ESTÁ POR MANZANA Y NÚMERO DE CASA, PERO NO APARECE EL NOMBRE DEL BARRIO. SE AVERIGUA POR LA WEB CON NÚMERO DE PLACA Y TERMINAL, PARA SABER EL NOMBRE DEL BARRIO, PERO NO APARECE Y ES UN CORRESPONSAL MIXTO.</t>
  </si>
  <si>
    <t>TA-25-962678</t>
  </si>
  <si>
    <t>BARRIO MONSERRATE NEIVA  1</t>
  </si>
  <si>
    <t>FO-25-1369308</t>
  </si>
  <si>
    <t>0
 0
 12-08-2025 SE LLEGA A SITIO, NO SE ENCUENTRA NADIE EN COMERCIO, SE LLAMAN AL NÚMERO 3182375307 Y EN COMUNICACIÓN CON EL SEÑOR JOHN FREDY TIMOTE PERDOMO SOLICITA REALIZAR VISITA EL DÍA DE MAÑANA DESPUÉS DE LAS 4:30.
 13/08/2025 EN LLAMADA CON CLIENTE JOHN FREDY TIMOTE PERDOMO AL NÚMERO 3182375307 SOLICITA REALIZAR VISITA EL DÍA DE MAÑANA.
 14-08-2025 SE LLEGA A SITIO, SE RECOGE DATAFONO Y LECTOR DE BARRAS.</t>
  </si>
  <si>
    <t>F1LZZ956</t>
  </si>
  <si>
    <t>TA-25-973870</t>
  </si>
  <si>
    <t>BARRIO UNICENTRO CALI CALI</t>
  </si>
  <si>
    <t>FO-25-1375884</t>
  </si>
  <si>
    <t xml:space="preserve">0
 0
 14-08-2025 SE VISITA EL COMERCIO SE ENCUENTRA CERRADO, SE PREGUNTA A LOS VECINOS CERCANOS INFORMA QUE SE FUERON HACE 8 DÍAS, SE LLAMA AL CLIENTE AL NÚMERO 3155157165 ESTA APAGADO SE VA A BUZÓN, LA VISITA ES FALLIDA, CIERRE NO EXISITOSO </t>
  </si>
  <si>
    <t>A10RZ460</t>
  </si>
  <si>
    <t>HERRERA MONAR GEOVANNY</t>
  </si>
  <si>
    <t>VALLEDUPAR</t>
  </si>
  <si>
    <t>TA-25-948858</t>
  </si>
  <si>
    <t>CESAR</t>
  </si>
  <si>
    <t>TAMALAMEQUE</t>
  </si>
  <si>
    <t>BARRIO FLORES DE SABANA TAMALAMEQUE</t>
  </si>
  <si>
    <t>FO-25-1353501</t>
  </si>
  <si>
    <t>0
 0
 14-08-2025 SE COMUNICA CON LA SEÑORA BILIVAL CALLE, LA CUAL INDICAN QUE EL CB SE ENCUENTRA A SU NOMBRE PERO QUE LA PERSONA ENCARGADA DEL CB TRASLADO DE MANERA INFORMAL EL CB PARA SANTA ROSA DEL SUR DE BOLIVAR, Y DICHA PERSONA NO TIENE INTENCIONES DE ENTREGAR LOS EQUIPOS, LA SEÑORA MANIFIESTA QUE VA A TRATAR DE SOLUCIONAR LA SITUACIÓNA PARA QUE ESA PERSONA ENTREGUE LOS EQUIPOS</t>
  </si>
  <si>
    <t>MONTES DIAZ JOHN FRED</t>
  </si>
  <si>
    <t>TA-25-948855</t>
  </si>
  <si>
    <t>GIRARDOTA</t>
  </si>
  <si>
    <t>BARRIO 0 GIRARDOTA</t>
  </si>
  <si>
    <t>FO-25-1353491</t>
  </si>
  <si>
    <t xml:space="preserve">0
 0
 15-08-2025 SE COMUNICA CON EL USUARIO PARA RECLAMAR LOS EQUIPOS DEL CORRESPONSAL BANCARIO, E INDICA QUE EN MOMENTO NO SE ENCUENTRA EN SITIO Y NO SABE CON EXACTITUD CUANDO ESTÉ DE REGRESO </t>
  </si>
  <si>
    <t>ZAPATA LOPEZ EDWARD ASDRUBAL</t>
  </si>
  <si>
    <t>TA-25-972854</t>
  </si>
  <si>
    <t>BARRIO LATINO CUCUTA 20</t>
  </si>
  <si>
    <t>FO-25-1373985</t>
  </si>
  <si>
    <t xml:space="preserve">0
 0
 15-08-2025 SE REALIZÓ VISITA A LA DIRECCIÓN ASIGNADA Y SE ENCUENTRA QUE YA NO EXISTE EL COMERCIO, SE REALIZAN LLAMADAS TELEFÓNICA AL NÚMERO ASIGNADO Y SE NO SE OBTIENE RESPUESTA </t>
  </si>
  <si>
    <t>MORA VEGA JEAMPIER</t>
  </si>
  <si>
    <t>LC-CS-25-000028</t>
  </si>
  <si>
    <t>AYAPEL</t>
  </si>
  <si>
    <t>SANTA ANA AYAPEL</t>
  </si>
  <si>
    <t>FO-25-1380888</t>
  </si>
  <si>
    <t>0
 0
 15-08-2025 SE LLEGÓ A SITIO Y LA SEÑORA MARIBEL CASTRO INFORMA QUE ELLA COMPENSÓ HACE UN MES APROXIMADAMENTE Y LE INFORMO AL BANCO QUÉ IBA A REALIZAR UNA REMODELACIÓN QUE TARDABA VARIOS DÍAS, POR TAL MOTIVO NO PERMITIÓ EL CIERRE Y QUIERE QUE EL BANCO LE ACTIVE EL CB PORQUE YA ESTÁ NUEVAMENTE EN OPERACIÓN EL LOCAL COMERCIAL, SE LE INFORMA QUE DEBE LLAMAR A LA LÍNEA DE ATENCIÓN 018000853344.</t>
  </si>
  <si>
    <t>TA-25-941590</t>
  </si>
  <si>
    <t>MAGUI</t>
  </si>
  <si>
    <t>PTM MAGUI DROGAS LA PLAYITA</t>
  </si>
  <si>
    <t>FO-25-1345220</t>
  </si>
  <si>
    <t xml:space="preserve">0
 14/08/2025 SE REALIZA DESPLAZAMIENTO PERO COMO ES ZONA REMOTA Y DE DIFÍCIL ACCESO NO SE LLEGA A SITIO...
 16-08-2025 SE REALIZA BÚSQUEDA DEL COMERCIO PERO NO SE LOGRA ENCONTRAR, SE LLAMA AL CLIENTE Y NO SE OBTIENE RESPUESTA EN EL NÚMERO SUMINISTRADO, SE AVERIGUA CON GENTE DEL LUGAR Y INFORMAN QUE SE ENCUENTRA DE VIAJE POR LO CUAL NO SE PUEDE HACER EL CIERRE... </t>
  </si>
  <si>
    <t>PAZ MARTINEZ RICHARD HUMBERTO</t>
  </si>
  <si>
    <t>TA-25-973867</t>
  </si>
  <si>
    <t>GIRON</t>
  </si>
  <si>
    <t>BARRIO SAN ANTONIO DE CARRIZAL</t>
  </si>
  <si>
    <t>FO-25-1375874</t>
  </si>
  <si>
    <t xml:space="preserve">0
 14/08/2025 EN COMUNICACIÓN CON LA SEÑORA KELLY BARRETO AL MOVIL 3123865977, INDICA QUE EL BANCO NO LE HAN INFORMADO DE ESTO Y ELLA NO PUEDE REALIZAR LA ENTREGA DE ESTOS EQUIPOS PORQUE NO LE HAN INFORMADO, INDICA QUE PRIMERO VA HABLAR CON EL  BANCO Y NOS DARÁ UNA RESPUESTA SOBRE ESTA ORDEN. | 15/08/2025 EN COMUNICACIÓN CON LA SEÑORA KELLY BARRETO AL MOVIL 3123865977, INDICA QUE HASTA EL MOMENTO EL BANCO NO LE HA DADO RESPUESTA, INDICA QUE NOS COMUNIQUEMOS NUEVAMENTE EL DÍA DE MAÑANA PARA CONFIRMAR.
 16-08-2025 EN COMUNICACIÓN CON LA SEÑORA KELLY BARRETO AL MOVIL 3123865977,INDICA QUE ELLA NO VA ENTREGAR LOS EQUIPOS AÚN, INDICA QUE YA SE COMUNICO CON LA ENTIDAD LA CUAL LE INFORMO QUE AÚN NO LE HAN DADO RESPUESTA DEBIDO A QUE NO HAY GESTOR EN SU LOCALIDAD Y YA GENERÓ UN RADICADO, CLIENTE SOLICITA CANCELAR VISITA, SE LE INFORMA QUE SE PROCEDERÁ A CANCELAR LA VISITA Y SI NO HAY UNA RESPUESTA POSITIVA POR PARTE DE LA ENTIDAD DEBERÁ LLAMAR Y SOLICITAR UNA ORDEN DE RECOGIDA DE EQUIPOS NUEVAMENTE. </t>
  </si>
  <si>
    <t>LC-CS-25-000012</t>
  </si>
  <si>
    <t>FO-25-1380519</t>
  </si>
  <si>
    <t xml:space="preserve">0
 0
 16-08-2025 SE REALIZÓ VISITA A LA DIRECCIÓN ASIGNADA Y SE ENCUENTRA LOCAL CERRADO, SE REALIZARON LLAMADAS TELEFÓNICA AL NÚMERO ASIGNADO Y NO SE OBTIENE COMUNICACIÓN, SIN COMUNICACIÓN </t>
  </si>
  <si>
    <t>LC-CS-25-000040</t>
  </si>
  <si>
    <t>CASANARE</t>
  </si>
  <si>
    <t>VILLANUEVA</t>
  </si>
  <si>
    <t>BARRIO FUNDADORES VILLANUEVA</t>
  </si>
  <si>
    <t>FO-25-1384541</t>
  </si>
  <si>
    <t>15/08/2025 SE INTENTA COMUNICACIÓN AL NÚMERO 3125533335 SUENA PERO NO HAY CONTACTO, SE INTENTARÁ NUEVAMENTE | 16/08/2025 SE CONTACTA AL SEÑOR YAMIT VARGAS E INFORMA QUE NO ESTÁ EN EL MUNICIPIO QUE SOLO PUEDE DE LUNES A VIERNES QUE NO SEA FESTIVO SE VALIDA CON JEFE DE ZONA</t>
  </si>
  <si>
    <t>ROZO JIMENEZ EDGAR ARMANDO</t>
  </si>
  <si>
    <t>LC-CS-25-000042</t>
  </si>
  <si>
    <t>BARRIO BOSA SAN BERNARDO BOGOTA 1</t>
  </si>
  <si>
    <t>FO-25-1380912</t>
  </si>
  <si>
    <t>0
 0
 16-08-2025 SE REALIZA VISITA A LA DIRECCIÓN NOS ATIENDE LA SEÑORA SANDRA GELVES LA CUAL LOS INDICA QUE SE ENCUENTRA A LA ESPERA DE RESPUESTA DEL BANCO POR FACTURACIÓN POR ESO NO REALIZA ENTREGA DE LOS EQUIPOS - 22/08/2025 ENTIDAD SOLICITA CANCELAR CIERRE: SOLICITAMOS TU COLABORACIÓN PARA CAMBIAR EL ESTADO DE "NO EXITOSO" A "SOLICITUD CANCELADA"</t>
  </si>
  <si>
    <t>LM5ZZ628</t>
  </si>
  <si>
    <t>LC-CS-25-000038</t>
  </si>
  <si>
    <t>BARRIO ANDES CALI</t>
  </si>
  <si>
    <t>FO-25-1380864</t>
  </si>
  <si>
    <t>0
 0
 16-08-2025 EL CLIENTE EXPLICA A TENIDO INCONVENIENTES CON EL PAGO DE LAS COMISIONES MENSUALES, CLIENTE A ESTADO ENVIANDO PUNTUAL LA FACTURA MENSUAL PERO EL BANCO LE RECHAZA LA FACTURA PORQUE TIENE ALGÚN ERROR PERO CLIENTE LLAMO AL BANCO PARA QUE LE EXPLIQUEN DONDE ESTA EL ERROR NO LA SABEN ORIENTAR REVISA EL CORREO NO LE EXPLICAN CUAL ES EL ERROR DE LA FACTURA ENVIADA, LLEVA TRATANDO DE ENVIAR LA FACTURA VARIOS MESES, CLIENTE SIEMPRE HA ESTADO CON LA DISPOSICIÓN DE ENVIAR LA FACTURA HASTA 3 VECES AL MES LA ENVÍA PERO CUANDO LLAMA AL BANCO LE INFORMAN QUE NO PASA EL COBRO NO LE EXPLICAN EL MOTIVO ENVÍA EL CORREO LE DICEN EN LA LÍNEA QUE NO LES A LLEGADO Y REVISA QUE ESTÁ BIEN ENVIADO NO LE CORRIGEN EL ERROR, UNOS MESES SE LO PAGAN OTROS NO SE LOS PAGAN Y SE ENVÍAN DE LA MISMA FORMA EN LA LÍNEA DE ATENCIÓN NO SABE PORQUE PASA UN MES Y EL OTRO NO NO LO PAGAN, EXPLICA QUE ACUMULÓ TRES MESES POR ESE ERROR LA BLOQUEARON POR ELLO Y EL BANCO POR NO ESTAR OPERANDO EL CB POR MÁS DE QUINCE DÍAS, LE ENVÍO UN MENSAJE QUE SE IBA A CERRAR EL CB, CLIENTE ESTÁ INCONFORME CON EL SERVICIO PRESTADO POR LA LÍNEA DE ATENCIÓN NO LE RESOLVIERON LO DEL COBRO DE LAS COMISIONES SI ERA PUNTUAL CON EL ENVÍO MENSUAL DE LA FACTURA, EXPLICA CÓMO ELLA FUE ATENTA CON EL SERVICIO PRESTADO, LAS COMPENSACIONES PUNTALES ASÍ MISMO EXIGE QUE UN FUNCIONARIO DEL BANCO SE PRESENTE PARA QUE LE EXPLIQUEN EL MOTIVO DEL CIERRE O LAS CAUSALES QUE DIERON PARA QUE EL BANCO TOMARA LA DESICIÓN, CLIENTE DICE QUE ARBITRARIAMENTE LE CERRARON EL PUNTO SIN QUE ALGUIEN DEL BANCO SE PERSONALICE DEL CASO, CLIENTE VA ESPERAR QUE LE SOLUCIONEN O DONDE PUEDE HABLAR CON UN FUNCIONARIO O LA VISITEN Y QUE LE EXPLIQUEN LAS CAUSALES QUE EL BANCO TOMARA ESA DESICIÓN Y VA ESPERAR ALGUNA RESPUESTA PARA AUTORIZAR LA ENTREGA DE LOS EQUIPOS</t>
  </si>
  <si>
    <t>LC-CS-25-000021</t>
  </si>
  <si>
    <t>BELLO</t>
  </si>
  <si>
    <t>BARRIO PEREZ BELLO 1</t>
  </si>
  <si>
    <t>FO-25-1380875</t>
  </si>
  <si>
    <t>0
 0
 16-08-2025 USUARIO MANIFIESTA QUE SE QUEDÓ SIN TRABAJADORA, SE LE PASO HACER EL REPORTE A BANCOLOMBIA YA QUE NO ESTÁ EN EL PAÍS, PERO VA A SEGUIR OPERANDO EL CB.</t>
  </si>
  <si>
    <t>AA00D811</t>
  </si>
  <si>
    <t>RAMIREZ TABARES JUAN DIEGO</t>
  </si>
  <si>
    <t>TA-25-973871</t>
  </si>
  <si>
    <t>PUTUMAYO</t>
  </si>
  <si>
    <t>SIBUNDOY</t>
  </si>
  <si>
    <t>BARRIO COMERCIAL SIBUNDOY 1</t>
  </si>
  <si>
    <t>FO-25-1375888</t>
  </si>
  <si>
    <t>0
 0
 19-08-2025 SE VISITA CB. CLIENTE INFORMA QUE ANTES DE DEVOLVER LOS EQUIPOS NECESITA DEJAR CLARO UN ASUNTO CON EL BANCO Y CON EL ASESOR DE BANCOLOMBIA PERO QUE NO HA PODIDO REALIZAR COMUNICACIÓN CON ELLOS. CLIENTE NO FIRMA</t>
  </si>
  <si>
    <t>LA2ZZ432</t>
  </si>
  <si>
    <t>CASTILLO HERRERA ALEX RICARDO</t>
  </si>
  <si>
    <t>LC-CS-25-000033</t>
  </si>
  <si>
    <t>ARBOLEDA</t>
  </si>
  <si>
    <t>BARRIO CENTRO ARBOLEDA</t>
  </si>
  <si>
    <t>FO-25-1380834</t>
  </si>
  <si>
    <t xml:space="preserve">0
 0
 19-08-2025 SE VISITA CB. SE ENCUENTRA LOCAL CERRADO, NO SE PUEDE ESTABLECER COMUNICACIÓN TELEFÓNICA CON EL CLIENTE, TELÉFONO APAGADO, VECINOS NO DAN INFORMACIÓN DEL SEÑOR JESÚS </t>
  </si>
  <si>
    <t>A301Z286</t>
  </si>
  <si>
    <t>LC-CS-25-000061</t>
  </si>
  <si>
    <t>PTM BUCARAMANGA PAPELERIA PAPE</t>
  </si>
  <si>
    <t>FO-25-1396999</t>
  </si>
  <si>
    <t>19/08/2025 EN COMUNICACIÓN CON LA SRA PAULA MARCELA RODRIGUEZ CRUZ  AL NÚMERO 3154913400 NOS INDICA QUE LLEVA DOS MESES MAL DE SALLUD, POR LO CUAL NO HA PODIDO TRABAJAR EN EL CB, REFIERE NO TENER LA FORMA ACTUALMENTE DE ENTREGAR LOS EQUIPOS DEBIDO A SU ESTADO DE SALUD | 19/08/2025 SE HACE PRESENCIA EN COMERCIO SE OBSERVA CERRADO SE TRATA DE CONTACTAR AL CLIENTE AL NÚMERO 3186488209 NO SE OBTIENE RESPUESTA SE VALIDE QUE EL NÚMERO DE CONTACTO TENGA WHATSAPP Y SE LE DEJA EL MENSAJE AL CLIENTE SIN RESPUESTA SE PROCEDE A REPROGRAMAR ORDEN</t>
  </si>
  <si>
    <t>XP8ZZ968-XP9ZZ443</t>
  </si>
  <si>
    <t>ORTEBARRERAGA MARLON STWAR</t>
  </si>
  <si>
    <t>TA-25-973860</t>
  </si>
  <si>
    <t>CAUCA</t>
  </si>
  <si>
    <t>PIENDAMO</t>
  </si>
  <si>
    <t>BARRIO FATIMA PIENDAMO</t>
  </si>
  <si>
    <t>FO-25-1375861</t>
  </si>
  <si>
    <t>0
 0
 19-08-2025 SE LLEGA A LA DIRECCION SE ENCUENTRA CERRADO COMERCIO</t>
  </si>
  <si>
    <t>GIMBUEL LASSO LUIS GERMAN</t>
  </si>
  <si>
    <t>LC-CS-25-000043</t>
  </si>
  <si>
    <t>UNION PANAMERICANA</t>
  </si>
  <si>
    <t>BARRIO LOURDES UNION PANAMERICANA</t>
  </si>
  <si>
    <t>FO-25-1380827</t>
  </si>
  <si>
    <t>15/08/2025 SE INTENTA COMUNICACIÓN AL NÚMERO 3102233888 SUENA PERO NO HAY CONTACTO, SE INTENTARÁ NUEVAMENTE | 19/08/2025 SE INTENTA COMUNICACIÓN AL NÚMERO 3102233888 SUENA PERO NO HAY CONTACTO. SE INTENTARÁ NUEVAMENTE | 19/08/2025 SE INTENTA COMUNICACIÓN AL NÚMERO 3102233888 SUENA PERO NO HAY CONTACTO. | 20/08/2025 SE LLEGA A SITIO, PERSONAL QUE ATIENDE EL COMERCIO COMENTA QUE NO TIENE CONOCIMIENTO DE DATAFONOS Y EL EL DUEÑO NO SE ENCUENTRA Y NO SE ENTRA AUTOTOZADA A FIRMAR DOCUMENTOS SIN PREVIA AUTORIZACIÓN</t>
  </si>
  <si>
    <t>NO SUMINISTRA</t>
  </si>
  <si>
    <t>ROBLEDO DIAZ ANDRES FELIPE</t>
  </si>
  <si>
    <t>TA-25-962684</t>
  </si>
  <si>
    <t>BAJO BAUDO</t>
  </si>
  <si>
    <t>BARRIO TRINIDAD Y PLAYITA BAJO BAUDO</t>
  </si>
  <si>
    <t>FO-25-1363671</t>
  </si>
  <si>
    <t>0
 14/08/2025 SE CONTACTA CON EL CLIENTE Y COMENTA Q UE NO SE ENCUENTRA CON LOS EQUIPO YA QUE ESTA EN UNA CITA MÉDICA CON LA PAREJA
QUEDA EN LLAMAR AL TÉCNICO CUANDO TENGA LOS EQUIPOS A DISPOSICIÓN | 15/08/2025 SE CONTACTA CON EL CLIENTE Y COMENTA QUE EN EL MOMENTO NO SE ENCUENTRA OCUPADO
QUEDA EN LLAMAR AL TÉCNICO CUANDO TENGA LOS EQUIPOS A DISPOSICIÓN
 20-08-2025 SE CONTACTA EN REPETIDAS OCASIONES CON EL CLIENTE PARA ORGANIZAR LA ENTREGA DE LOS EQUIPOS NO FUE POSIBLE</t>
  </si>
  <si>
    <t xml:space="preserve">NO SUMINISTRA </t>
  </si>
  <si>
    <t>LC-CS-25-000022</t>
  </si>
  <si>
    <t>BARRIO BELLO BELLO 5</t>
  </si>
  <si>
    <t>FO-25-1380850</t>
  </si>
  <si>
    <t>15/08/2025 SE INTENTA COMUNICACIÓN AL NÚMERO  3246127130 SE ENCUENTRA APAGADO. SE INTENTARÁ NUEVAMENTE | 19/08/2025 SE INTENTA COMUNICACIÓN AL NÚMERO  3246127130 SE ENCUENTRA APAGADO. SE INTENTARÁ NUEVAMENTE | 19/08/2025 SE INTENTA COMUNICACIÓN AL NÚMERO  3246127130 SE ENCUENTRA APAGADO. | 20/08/2025 SE LLEGA AL SITIO Y EL COMERCIO YA NO EXISTE SE INTENTÓ COMUNICARSE CON EL USUARIO Y NO FUE POSIBLE.</t>
  </si>
  <si>
    <t>LC-CS-25-000059</t>
  </si>
  <si>
    <t>DISTRICOL DM SERVICIOS Y SUMIN</t>
  </si>
  <si>
    <t>FO-25-1392552</t>
  </si>
  <si>
    <t>19/08/2025 SE INTENTA COMUNICACIÓN AL NÚMERO 3226172324, SE ENCUENTRA APAGADO. SE INTENTARÁ NUEVAMENTE | 20/08/2025 SE INTENTA COMUNICACIÓN AL NÚMERO 3226172324, SE ENCUENTRA APAGADO. SE INTENTARÁ NUEVAMENTE | 20/08/2025 SE INTENTA COMUNICACIÓN AL NÚMERO 3226172324 SE ENCUENTRA APAGADO, SE INTENTA COMUNICACIÓN VIA WHATSAPP; NO LLEGAN LOS MENSAJES | 20/08/2025 BUENAS TARDES SE VISITA CB PERO SE ENCUENTRA CORRESPONSAL CERRADO,  Y EL TELÉFONO DE CONTACTO SE VA A BUZÓN, SE GESTIÓNA COMO VISITA FALLIDA</t>
  </si>
  <si>
    <t>1000R521</t>
  </si>
  <si>
    <t>BENITEZ CARVAJAL ALVARO JAVIER</t>
  </si>
  <si>
    <t>LC-CS-25-000089</t>
  </si>
  <si>
    <t>SAN ANDRES DE TUMACO</t>
  </si>
  <si>
    <t>BARRIO TUMACO SAN ANDRES DE TU</t>
  </si>
  <si>
    <t>FO-25-1397913</t>
  </si>
  <si>
    <t>20/08/2025 EN COMUNICACIÓN CON EL NÚMERO 3214547858 NOS INDICAN QUE EL CB SE ENCUENTRA EN CALI EN LA DIRECCIÓN CR 3 NORTE # 71 C 20 | 21/08/2025 SE VISITA EL COMERCIO EN LA DIRECCIÓN INDICADA POR EL CLIENTE EN CALI, SE VÁLIDA QUE NO TIENE EQUIPOS DE REDEBAN DEL PUNTO 52418 BARRIO TUMACO SAN ANDRÉS DE TUMACO PORQUE LA SEÑORA ANGIE MARIELA FIGUEROA GARCÍA Y EL SEÑOR DAGOBERTO FIGUEROA NO ES LA REPRESENTANTE LEGAL DE ESE PUNTO, INFORMA QUE LOS EQUIPOS QUE VA ENTREGAR ES DEL PUNTO 57562 BARRIO PASO DEL COMERCIO CALI</t>
  </si>
  <si>
    <t>LC-CS-25-000062</t>
  </si>
  <si>
    <t>SIBATE</t>
  </si>
  <si>
    <t>DISTRICOL TABEEL</t>
  </si>
  <si>
    <t>FO-25-1392558</t>
  </si>
  <si>
    <t>19/08/2025 EN COMUNICACIÓN CON EL SR CRISTIAN TORRES AL NÚMERO 3195812689 NOS CONFIRMA LA SOLICITUD, DATOS CORRECTOS. SE ESCALA PARA VISITA | 21/08/2025 DURANTE LA VISITA TECNICA PARA REALIZAR CIERRE DE CORRESPONSAL BANCARIO AL LLEGAR SE EVIDENCIA QUE COMERCIO NO EXISTE EN DIRECCIÓN SE PREGUNTA EN COMERCIO ACTUAL EL CUAL INDICA QUE LA SRA SE PASO A LA DIRECCIÓN KR 8 10 71 EN DICHA DIRECCIÓN SE ENCUENTRA CERRADO EL CB SE LLAMA AL NUMERO DE CELULAR 3195812689 EN REPETIDAS OCASIONES SIN TENER RESPUESTA SE INFORMA A COORDINADOR Y SE PROCEDE AL CIERRE DE LA ACTIVIDAD</t>
  </si>
  <si>
    <t>LC-CS-25-000072</t>
  </si>
  <si>
    <t>BARRIO CIUDAD BOLIVAR</t>
  </si>
  <si>
    <t>FO-25-1393708</t>
  </si>
  <si>
    <t>19/08/2025 SE INTENTA COMUNICACIÓN AL  NÚMERO 3184913235 SE ENCUENTRA APAGADO. SE INTENTARÁ NUEVAMENTE | 20/08/2025 SE INTENTA COMUNICACIÓN AL  NÚMERO 3184913235 SE ENCUENTRA APAGADO. SE INTENTARÁ NUEVAMENTE | 21/08/2025 SE VISITA COMERCIO SE VERIFICA QUE SE ENCUENTRA CERRADO SE LLAMA EN REPETIDAS OCASIONES AL NUMERO 6440577 SIN RESPUESTA ALGUNA ,SE PREGUNTA A SUS ALREDEDORES Y NO DAN RAZON VISITA FALLIDA</t>
  </si>
  <si>
    <t>BARAJAS BERMUDEZ YAHIR MAURICIO</t>
  </si>
  <si>
    <t>LC-CS-25-000044</t>
  </si>
  <si>
    <t>PUERTO CAICEDO</t>
  </si>
  <si>
    <t>BARRIO SANTA BARBARA PUERTO CA</t>
  </si>
  <si>
    <t>FO-25-1380867</t>
  </si>
  <si>
    <t>15/08/2025 EN COMUNICACIÓN CON LA SEÑORA DIANA YOLANDA LOMBANA AL NÚMERO 3188632650 SE CONFIRMA LA  SOLICITUD, DATOS CORRECTOS, SE ESCALA PARA VISITA, LLAMAR ANTES DE DESPLAZARSE | 21/08/2025 SE LLEGA A MUNICIPIO PERO LA ENCARGADA DEL CB NO SE ENCUENTRA. SE REALIZA COMUNICACIÓN TELEFÓNICA E INFORMA QUE DEVOLVERA PERSONALMENTE LOS EQUIPOS A BANCOLOMBIA YA QUE SE LE DESCONTÓ UN DINERO POR ELLOS, Y QUIERE SABER CUNADO LE REINTEGRARAN DICHO DINERO.</t>
  </si>
  <si>
    <t>IIHZZ021</t>
  </si>
  <si>
    <t>GUERRERO RAMIREZ OSCAR DARIO</t>
  </si>
  <si>
    <t>LC-CS-25-000056</t>
  </si>
  <si>
    <t>TIBU</t>
  </si>
  <si>
    <t>PTM TIBU J STORE</t>
  </si>
  <si>
    <t>FO-25-1392543</t>
  </si>
  <si>
    <t>19/08/2025 EN COMUNICACIÓN CON EL SR JAIRO ALONSO ROJAS CRIOLLO AL NÚMERO 3108624352 NOS COFIRMA LA SOLICITUD, DATOS CORRECTOS, SE ESCALA PARA VISITA. POR FAVOR LLAMAR ANTES DE DESPLAZARSE | 21/08/2025 EN COMUNICACIÓN CON EL CLIENTE EL SR JAIRO ALONSO ROJAS CRIOL 3108624352 SE LE INFORMA QUE POR ORDEN PÚBLICO NO SE PUEDE VIAJAR A LA ZONA DEL CATATUMBO SE LE INDICA QUE LOS EQUIPOS LOS PODRÍA ENVIAR A ALGUN FAMILIAR O EL PODER VIAJAR A ENTREGARLO PERSONALMENTE,ME INFORMA QUE OOR SEGURIDAD NO LES PERMITEN SALIR O ENVIAR NADA EN LA ZONA DONDE SE ENCUENTRAN | 22/08/2025 EN COMUNICACIÓN CON EL CLIENTE SE LE INFORMA QUE POR ORDEN PÚBLICO NO SE PUEDE VIAJAR A LA ZONA DEL CATATUMBO PARA LA RECOLECCIÓN DE EQUIPOS, SE LE INDICA QUE PODRÍA TRAERLOS A CÚCUTA O ENVIARLOS A ALGÚN FAMILIAR PARA LA ENTREGA,ME INDICO QUE POR SEGURIDAD Y ORDEN PÚBLICO NO PUEDE SALIR DE LA VEREDA Y TAMPOCO LES PERMITE REALIZAR ENVÍOS</t>
  </si>
  <si>
    <t>DURAN ACOSTA FRANK YONNY</t>
  </si>
  <si>
    <t>PEREIRA</t>
  </si>
  <si>
    <t>LC-CS-25-000103</t>
  </si>
  <si>
    <t>QUINDIO</t>
  </si>
  <si>
    <t>CALARCA</t>
  </si>
  <si>
    <t>BARRIO CENTRO CALARCA 11</t>
  </si>
  <si>
    <t>FO-25-1406226</t>
  </si>
  <si>
    <t>22/08/2025 SE INTENTA COMUNICACIÓN A LOS NÚMEROS 3148035888-3136730379, SE ENCUENTRAN APAGADOS. SE INTENTARÁ NUEVAMENTE | 22/08/2025 SE INTENTA COMUNICACIÓN A LOS NÚMEROS 3148035888-3136730379, SE ENCUENTRAN APAGADOS. SE INTENTARÁ NUEVAMENTE | 22/08/2025 SE VISITA COMERCIO, SE ENCUENTRA CERRADO, SE LLAMA A CONTACTOS NO HAY RESPUESTA, SE PREGUNTA A VECINOS POR EL COMERCIO INDICAN NO SABER NADA.</t>
  </si>
  <si>
    <t>9L00V516</t>
  </si>
  <si>
    <t>SANCHEZ SOLORZANO JUAN SEBASTIAN</t>
  </si>
  <si>
    <t>LC-CS-25-000048</t>
  </si>
  <si>
    <t>GUARNE</t>
  </si>
  <si>
    <t>PTM GUARNE  MINIMERCADO LOS MA</t>
  </si>
  <si>
    <t>FO-25-1402428 | FO-25-1392601</t>
  </si>
  <si>
    <t>19/08/2025 EN COMUNICACIÓN CON LA SRA DIANA MARIA GARCIA TORO  AL NÚMERO  3117942928 NOS CONFRIMA SOLICITUD, LA USUARIA INDICA QUE LA DIRECCIÓN PARA LA RECOLECCIÓN DE LOS EQUIPOS ES EN GUARNE CR 50 # 56-41 BARRIO SAN VICENTE | 21/08/2025 SE VISITA COMERCIO PERO SE ENCUENTRA CERRADO, SE LLAMA AL NÚMERO INDICADO PERO NO CONTESTAN, ESPERO POR UNOS MINUTOS (30) PERO NO ABREN
22/08/2025 SE REALIZA CIERRE DE CB</t>
  </si>
  <si>
    <t>MN000392
MN000606 - MN000392</t>
  </si>
  <si>
    <t>HERNANDEZ CHAVARRIA JUAN CAMILO</t>
  </si>
  <si>
    <t>LC-CS-25-000100</t>
  </si>
  <si>
    <t>BARRIO PUENTE ARANDA VIII BOGO</t>
  </si>
  <si>
    <t>FO-25-1406215</t>
  </si>
  <si>
    <t>22/08/2025 EN COMUNICACIÓN CON EL SR NELSON FAUSTINO AL NÚMERO 3176393348 NOS CONFIRMA LA SOLICITUD, DATOS CORRECTOS. SE ESCALA PARA VISITA | 22/08/2025 SE REALIZA VISITA A CB PARA REALIZAR CIERRE EL SEÑOR LEONARDO INDICA QUE NO TIENE NINGÚN EQUIPO Y NO TIENEN CONOCIMIENTO SOBRE ELLOS</t>
  </si>
  <si>
    <t>NO</t>
  </si>
  <si>
    <t>GALINDO ROJAS LUIS FELIPE</t>
  </si>
  <si>
    <t>LC-CS-25-000124</t>
  </si>
  <si>
    <t>PTM IBAGUE DISTRIBUIDORA AYV</t>
  </si>
  <si>
    <t>FO-25-1410458</t>
  </si>
  <si>
    <t>31/08/2025 EN COMUNICACIÓN CON EL SR VICTOR SANTOYA AL NÚMERO 3026622583 NOS CONFIRMA LA SOLICITUD Y DATOS CORRECTOS, SE ESCALA PARA VISITA, SIN EMBARGO LLAMAR ANTES DE DEPLAZARSE PARA DARLE INFORMACIÓN SOBRE LA DIRECCIÓN DE RCOLECCIÓN DE LOS EQUIPOS PORQUE EL USUARIO NO SE ENCUENTRA EN LA CIUDAD | 22/08/2025 SE LLEGA AL SITIO PERO EL COMERCIO NO EXISTE, SE VÁLIDA CONTACTO TELEFÓNICO AL NÚMERO 3026622583, NOS INDICAN ESTAR EQUIVOCADOS.</t>
  </si>
  <si>
    <t>BARRAGAN TAFUR EDWIN ESTEBAN</t>
  </si>
  <si>
    <t>LC-CS-25-000111</t>
  </si>
  <si>
    <t>BARRIO PERDOMO BOGOTA 5</t>
  </si>
  <si>
    <t>FO-25-1410482</t>
  </si>
  <si>
    <t>22/08/2025 EN COMUNICACIÓN CON EL SR LUIS GENALDO DAZA RINCONAL NÚMERO 3105588702 NOS CONFIRMA LA SOLICITUD, NOS INDICA QUE LA DIRECCIÓN PARA LA RECOLECCIÓN DE LOS EQUIPOS ES CARRERA 97 C # 49 C 15 SUR BOSA DROGUERIA SERVICOP. SE ESCALA PARA VISITA, POR FAVOR LLAMAR ANTES DE DESPLAZARSE | 23/08/2025 SE LLEGA ALA DIRECCIÓN INDICADA Y COMERCIO INDICA QUE NO SE ENCUENTRA PERSONA ENCARGADA DE LA ENTREGA , SE LLAMA AL NÚMERO 3105588702 SR LUIS GENALDO DAZA RINCON INDICA QUE EL DÍA DE HOY NO PUEDE ATENDER NI ENTREGAR EQUIPOS QUE DE LUNES A VIERNES.</t>
  </si>
  <si>
    <t>GARCIA PASTRANA KEVIN FERNANDO</t>
  </si>
  <si>
    <t>LC-CS-25-000105</t>
  </si>
  <si>
    <t>LA CASTELLANA BOGOTA 3</t>
  </si>
  <si>
    <t>FO-25-1406236</t>
  </si>
  <si>
    <t>22/08/2025 EN COMUNICACIÓN CON LA SRA MARCELA DE ANTONIO  AL NÚMERO 3116207484 NOS CONFIRMA LA SOLICITUD, DATOS CORRECTOS. SE ESCALA PARA VISITA, POR FAVOR LLAMAR ANTES DE DESPLAZARSE | 23/08/2025 SE VISITA DIRECCIÓN INDICADA EN LA ORDEN SE EVIDENCIA QUE EL COMERCIO SE ENCUENTRA CERRADO SE LLAMA EL TELÉFONO DE CONTACTO VARIAS VECES NO SE LOGRA COMUNICACIÓN CON EL CLIENTE SE TOMAN EVIDENCIAS FOTOGRÁFICAS DE LA VISITA Y NOS RETIRAMOS</t>
  </si>
  <si>
    <t>VEGA MANRIQUE JONATAN MAURICIO</t>
  </si>
  <si>
    <t>LC-CS-25-000023</t>
  </si>
  <si>
    <t>CHIGORODO</t>
  </si>
  <si>
    <t>BARRIO CHIGORODO CHIGORODO 2</t>
  </si>
  <si>
    <t>FO-25-1380901</t>
  </si>
  <si>
    <t>15/08/2025 SE INTENTA COMUNICACIÓN AL NÚMERO 3147932162 SUENA PERO NO HAY CONTACTO. SE INTENTARÁ NUEVAMENTE | 19/08/2025 SE INTENTA COMUNICACIÓN AL NÚMERO 3147932162 SUENA PERO NO HAY CONTACTO. SE INTENTARÁ NUEVAMENTE | 19/08/2025 SE INTENTA COMUNICACIÓN AL NÚMERO 3147932162 SUENA PERO NO HAY CONTACTO. | 23/08/2025 SE REALIZA VISITA AL ESTABLECIMIENTO COMERCIAL CON EL OBJETIVO DE GESTIONAR EL CIERRE DEL CORRESPONSAL BANCOLOMBIA. AL LLEGAR, SE CONSTATA QUE EL COMERCIO SE ENCUENTRA CERRADO. SE INTENTA ESTABLECER COMUNICACIÓN CON EL USUARIO RESPONSABLE MEDIANTE LOS CANALES HABITUALES, PERO NO SE OBTIENE RESPUESTA.</t>
  </si>
  <si>
    <t>LA009528</t>
  </si>
  <si>
    <t>MARTINEZ TOVAR OSCAR DAVID</t>
  </si>
  <si>
    <t>LC-CS-25-000121</t>
  </si>
  <si>
    <t>LOS PATIOS</t>
  </si>
  <si>
    <t>PTM PUNTOSERVIS LOS PATIOS 1 L</t>
  </si>
  <si>
    <t>FO-25-1410406 | FO-25-1416809</t>
  </si>
  <si>
    <t>28/08/2025 EN COMUNICACIÓN CON LA SRA DIANA ORTIZ AL NÚMERO 3028161475 NOS CONFIRMA LA SOLICITUD, DATOS CORRECTOS. SE ESCALA PARA VISITA, POR FAVOR LLAMAR A LOS NÚMEROS 3028161475 O 3203894073 ANTES DE DESPLAZARSE. | 23/08/2025 SE REALIZA VISITA, COMERCIO SE ENCUENTRA CERRADO, SE INTENTA CONTACTAR TELEFÓNICAMENTE AL CLIENTE, PERO NO RESPONDE EL NÚMERO DE CONTACTO.
3028161475</t>
  </si>
  <si>
    <t>PACHECO BUITRAGO JAVIER ALONSO</t>
  </si>
  <si>
    <t>LC-CS-25-000125</t>
  </si>
  <si>
    <t>PTM  CALI  ISA BOUTIQUE</t>
  </si>
  <si>
    <t>FO-25-1410468</t>
  </si>
  <si>
    <t>31/08/2025 SE INTENTA COMUNICACIÓN AL NÚMERO 3148149892 SE ENCUENTRA APAGADO. SE INTENTARÁ NUEVAMENTE | 23/08/2025 SE INTENTA COMUNICACIÓN AL NÚMERO 3148149892 SE ENCUENTRA APAGADO. SE INTENTARÁ NUEVAMENTE | 23/08/2025 SE INTENTA COMUNICACIÓN VIA WHATSAPP Y LLAMADA AL NÚMERO 3148149892 SE ENCUENTRA APAGADO, NO HAY CONTACTO | 22/08/2025 SE LLEGA AL COMERCIO PERO EL COMERCIO SE ENCUENTRA CERRADO SE LLAMA EL CLIENTE Y NO CONTESTA ENTONCES NO SE PUEDE HACER RETIRO DE PUBLICIDAD NI EQUIPOS SE PREGUNTA LOS ALREDEDORES Y DICE QUE EL COMERCIO LLEVA TIEMPO ASÍ CERRADO</t>
  </si>
  <si>
    <t>TR00D556</t>
  </si>
  <si>
    <t>LC-CS-25-000079</t>
  </si>
  <si>
    <t>COMCARD FERRE-JORDANÑ1</t>
  </si>
  <si>
    <t>FO-25-1397938</t>
  </si>
  <si>
    <t>20/08/2025 SE INTENTA COMUNICACIÓN AL NÚMERO 3003102770 SUENA PERO NO HAY CONTACTO. SE INTENTARÁ NUEVAMENTE | 21/08/2025 SE INTENTA COMUNICACIÓN AL NÚMERO 3003102770 SUENA PERO NO HAY CONTACTO. SE INTENTARÁ NUEVAMENTE | 22/08/2025 SE INTENTA COMUNICACIÓN AL NÚMERO 3003102770 SUENA PERO NO HAY CONTACTO. | 23/08/2025 SE CONTACTA A CLIENTE VÍA CHAT Y TELEFÓNICA NO SE RECIBEN RESPUESTAS. EN EL PUNTO EMPLEADO INFORMA EL SR NO ESTÁ Y LOS EQUIPOS NO SE ENCUENTRAN EN EL LUGAR POR LO TANTO NO SE PUEDE REALIZAR EL CIERRE DEL CB</t>
  </si>
  <si>
    <t>LC-CS-25-000069</t>
  </si>
  <si>
    <t>BARRIO RESTREPO BOGOTA 7</t>
  </si>
  <si>
    <t>FO-25-1393695</t>
  </si>
  <si>
    <t>19/08/2025 EN COMUNICACIÓN CON EL SR CARLOS ARLEY MORENO BEJARANO AL NÚMERO 3146259714 NOS CONFIRMA LA SOLICITUD, DATOS CORRECTOS. SE ESCALA PARA VISITA, POR FAVOR LLAMAR ANTES DE DESPLAZARSE | 23/08/2025 SE VISITA COMERCIO LA DIRECCIÓN SUMISNISTADA EN LA ORDEN PERO EN EL SITIO NO HAY CONTACTO CON EL CLIENTE Y NO HAY NÚMEROS DE CONTACTO, SE TOMA EVIDENCIA FOTOGRAFICA DE LA VISITA Y NOS RETIRAMOS</t>
  </si>
  <si>
    <t>LC-CS-25-000063</t>
  </si>
  <si>
    <t>OCAÑA</t>
  </si>
  <si>
    <t>DISTRICOL DROGUERIA LA COLINA</t>
  </si>
  <si>
    <t>FO-25-1409474 | FO-25-1392606</t>
  </si>
  <si>
    <t>19/08/2025 SE INTENTA COMUNICACIÓN AL NÚMERO 3157158244 SUENA PERO NO HAY CONTACTO. SE INTENTARÁ NUEVAMENTE | 20/08/2025 SE INTENTA COMUNICACIÓN AL NÚMERO 3157158244 SUENA PERO NO HAY CONTACTO. SE INTENTARÁ NUEVAMENTE | 22/08/2025 SE REALIZÓ VISITA AL COMERCIO Y CLIENTE MANIFIESTA QUE LA PERSONA ENCARGADA O REPRESENTANTE SE ENCUENTRA A LAS 3PM, SE REPROGRAMAR VISITA PARA LAS HORAS PM
22/08/2025 SE REALIZA VISITA AL COMERCIO Y SE REALIZA RETIRO DE DATAFONO LECTORA CABLEADO PUBLICIDAD FUE DESTRUIDA POR EL CLIENTE POR SU MAL ESTADO</t>
  </si>
  <si>
    <t>NONE
GA0LZ547</t>
  </si>
  <si>
    <t>LC-CS-25-000065</t>
  </si>
  <si>
    <t>PTM BOGOTA REYES MULTISERVICI</t>
  </si>
  <si>
    <t>FO-25-1392550</t>
  </si>
  <si>
    <t>19/08/2025 SE INTENTA COMUNICACIÓN AL NÚMERO 6050962 NO HAY CONTACTO. SE INTENTARÁ NUEVAMENTE | 20/08/2025 SE INTENTA COMUNICACIÓN AL NÚMERO 6050962 NO HAY CONTACTO. SE INTENTARÁ NUEVAMENTE | 20/08/2025 SE INTENTA COMUNICACIÓN AL NÚMERO 6050962 NO HAY CONTACTO. | 25/08/2025 SE VISITA COMERCIO, SE EVIDENCIA QUE ESTÁ CERRADO, SE LLAMA A TELÉFONOS DE CONTACTO 3206578031 Y NO HAY RESPUESTA, SE TOMA EVIDENCIA DE LA VISITA Y NOS RETIRAMOS.</t>
  </si>
  <si>
    <t>BARRANQUILLA</t>
  </si>
  <si>
    <t>LC-CS-25-000115</t>
  </si>
  <si>
    <t>ATLANTICO</t>
  </si>
  <si>
    <t>MANATI</t>
  </si>
  <si>
    <t>PTM MANATI PAPELERIA JC &amp; NA</t>
  </si>
  <si>
    <t>FO-25-1410403</t>
  </si>
  <si>
    <t>23/08/2025 EN COMUNICACIÓN CON LA SRA ADRIANA BADILLO AL NÚMERO 3215116269 NOS CONFIRMA LA SOLICITUD, NOS INDICA QUE LA DIRECCIÓN PARA LA RECOLECCIÓN DE LOS EQUIPOS ES CALLE 5A 39 194 OFICINA 702 MEDELLIN BARRIO POBLADO | 25/08/2025 SE REALIZA VISITA TÉCNICA, NO SE CONSIGUE LOS EQUIPOS EN SITIO, CLIENTE INDICA QUE LOS ENVÍO A PTM A LA CIUDAD DE MEDELLÍN.</t>
  </si>
  <si>
    <t xml:space="preserve">NO SE TIENE EL DATO </t>
  </si>
  <si>
    <t>DE AGUAS MUÑOZ DAVID JOSE</t>
  </si>
  <si>
    <t>LC-CS-25-000092</t>
  </si>
  <si>
    <t>BARRIO VIRREY BOGOTA 5</t>
  </si>
  <si>
    <t>FO-25-1397915</t>
  </si>
  <si>
    <t>21/08/2025 NO CONTACTADO | 25/08/2025 SE LLEGA A DIRECCIÓN PARA RETIRO DE EQUIPOS ESTÁ CERRADO SE INTENTA CONTACTO AL NÚMERO 3204130173 NADIE CONTESTA SE DEJA REGISTRO FOTOGRÁFICO</t>
  </si>
  <si>
    <t>BUSTOS MORA DIEGO MANUEL</t>
  </si>
  <si>
    <t>LC-CS-25-000055</t>
  </si>
  <si>
    <t>SAN LUIS</t>
  </si>
  <si>
    <t>DISTRICOL TECNOMARCAS</t>
  </si>
  <si>
    <t>FO-25-1392593</t>
  </si>
  <si>
    <t>19/08/2025 SE INENTA COMUICACIÓN AL NÚMERO 3507753783, NO HAY CONTACTO. SE INTENTARÁ NUEVAMENTE | 20/08/2025 SE INENTA COMUICACIÓN AL NÚMERO 3507753783, NO HAY CONTACTO. SE INTENTARÁ NUEVAMENTE | 20/08/2025 SE INTENTA COMUNICACIÓN AL NÚMERO 3507753783, NO HAY CONTACTO, NÚMERO SUSPENDIDO | 22/08/2025 SE PRESENTA NOVEDAD EN LA VÍA POR DERRUMBES Y UN CAMIÓN VOLCADO, NO HAY PASO EN LA AUTOPISTA MEDELLIN-BOGOTA. VISITA SE POSPONE PARA LA PROXIMA SEMANA QUE SE NORMALICE LA SITUACIÓN. | 25/08/2025 SE LLEGA AL SITIO SE ENCUENTRA CERRADO SE INTENTA COMUNICACIÓN CON EL CLIENTE Y NI FUE POSIBLE. SE REGRESA EN LA NOCHE Y SIGUE CERRADO EL COMERCIO</t>
  </si>
  <si>
    <t>SXRZZ986</t>
  </si>
  <si>
    <t>LC-CS-25-000007</t>
  </si>
  <si>
    <t>LA GUAJIRA</t>
  </si>
  <si>
    <t>MAICAO</t>
  </si>
  <si>
    <t>DISTRICOL TIENDA Y&amp;A</t>
  </si>
  <si>
    <t>FO-25-1380449</t>
  </si>
  <si>
    <t>15/08/2025 EN COMUNICACIÓN CON EL SEÑOR JUAN FERNANDO YEPES ALZATE AL NÚMERO 3207960856 NOS CONFRIMA SOLICITUD,  DATOS CORRECTOS. SE ESCALA PARA VISITA | 25/08/2025 COLABORADOR EN DESPLAZAMIENTO A MAICAO, SE PRESENTA RETRASO POR BLOQUEOS PARCIALES EN LA VIA DESDE SANTA MARTA | 26/08/2025 SE REALIZA LA VISITA, EL USUARIO INRMA QUE YA ENVÍO LOS EQUIPOS A MEDELLÍN A LA DIRECCIÓN CRA 30 # 8B -25, EDIFICIO SAN ESTEBAN POBLADO MEDELLIN
EL CLIENTE INFORMA QUE SE COMUNICÓ CON SILVANA MARULANDA
TEL:3028618037
CORREO:SILVANA1017DISTRIVOL@GMAIL.COM
EL CLIENTE ENVIÓ EL DATÁFONO Y LA LECTORA LA SEMANA PASADA</t>
  </si>
  <si>
    <t>LC-CS-25-000145</t>
  </si>
  <si>
    <t>ENVIGADO</t>
  </si>
  <si>
    <t>DISTRICOL DROGUERIA AMERICANA</t>
  </si>
  <si>
    <t>FO-25-1424061</t>
  </si>
  <si>
    <t>26/08/2025 EN COMUNICACIÓN CON LA SRA DAIELA ESTEFANY OSPINA USME AL NÚMERO 3128939185 NOS CONFIRMA LA SOLICITUD, DATOS CORRECTOS. SE ESCALA PARA VISITA | 26/08/2025 SE LLEGA A DIRECCIÓN NOS INDICAN QUE EL DÍA DE HOY NO PUEDEN ENTREGAR EL DATÁFONO YA QUE EL DUEÑO NO SE ENCUENTRA EL EMPLEADO NOS INDICA QUE NO PUEDE FIRMAR NI ENTREGAR INFORMACIÓN ADICIONAL</t>
  </si>
  <si>
    <t>3A003057</t>
  </si>
  <si>
    <t>LC-CS-25-000054</t>
  </si>
  <si>
    <t>SOLEDAD</t>
  </si>
  <si>
    <t>PTM DROGUERIA LOS ALMENDROS TR</t>
  </si>
  <si>
    <t>FO-25-1392562</t>
  </si>
  <si>
    <t>19/08/2025 SE INTENTA COMUNICACIÓN CON EL NÚMERO 3008154381 SUENA PERO NO HAY CONTACTO. SE INTENTARÁ NUEVAMENTE | 20/08/2025 SE REALIZA GESTIÓN TELEFÓNICA Y CLIENTE INDICA QUE EL SE COMUNICA CON LA LINEA DE ATENCIÓN A EL CLIENTE PARA PROGRAMAR LA ENTREGA DE LOS EQUIPOS. | 26/08/2025 SE REALIZA GESTIÓN TELEFÓNICA Y CLIENTE INDICA QUE EL SE COMUNICA CON LA LINEA DE ATENCIÓN A EL CLIENTE PARA PROGRAMAR LA ENTREGA DE LOS EQUIPOS.</t>
  </si>
  <si>
    <t>LC-CS-25-000106</t>
  </si>
  <si>
    <t>FO-25-1406218</t>
  </si>
  <si>
    <t>22/08/2025 EN COMUNICACIÓN CON LA SRA LIZZETH MIREYA ARRECHEA  AL NÚMERO 3163776668 NOS CONFIRMA LA SOLICITUD, NOS INDICA QUE LA DIRECCIÓN PARA LA RECOLECCIÓN DE LOS EQUIPOS ES CL 7 # 44 51 BARRIO MIRAFLORES. SE ESCALA PARA VISITA, POR FAVOR LLAMAR ANTES DE DESPLAZARSE | 26/08/2025 SE LLAMA AL CLIENTE Y SE VÁLIDA LA RECUPERACIÓN DE SOLO LA LECTORA EN LA DIRECCIÓN INDICADA EN BUENAVENTURA, SE VISITA EL COMERCIO, RETIRO SOLO LECTORA SYMBOL EN BUEN ESTADO YA EL CLIENTE HABÍA ENTREGADO LOS OTROS EQUIPOS Y PUBLICIDAD</t>
  </si>
  <si>
    <t>A16ZZ183</t>
  </si>
  <si>
    <t>LC-CS-25-000149</t>
  </si>
  <si>
    <t>PTM BOGOTA DISTRIBUIDORA DE VI</t>
  </si>
  <si>
    <t>FO-25-1424028</t>
  </si>
  <si>
    <t>26/08/2025 EN COMUNICACIÓN CON EL SR WILMER MANUEL CELEITA CLAVIJO AL NÚMERO 3213719899 NOS CONFIRMA LA SOLICITUD, DATOS CORRECTOS. SE ESCALA PARA VISITA, POR FAVOR LLAMAR ANTES DE DESPLAZARSE | 26/08/2025 SE LLEGA A DIRECCIÓN PARA RETIRO DE EQUIPOS LA NO HAY NÚMERO DE TORRE O APARTAMENTO Y NO ES EN LA TIENDA DE INTENTA CONTACTO AL NÚMERO 3213719899 NO CONTESTAN SE DEJA REGISTRO FOTOGRÁFICO</t>
  </si>
  <si>
    <t>LC-CS-25-000086</t>
  </si>
  <si>
    <t>BARRIO CENTRO MEDELLIN  103</t>
  </si>
  <si>
    <t>FO-25-1419905 | FO-25-1397920</t>
  </si>
  <si>
    <t>20/08/2025 EN COMUNICACIÓN CON LA SRA YENIFER VANESA GOMEZ AL NÚMERO 3128807653 NOS CONFIRMA LA SOLICITUD, NOS INDICA QUE LA DIRECCIÓN PARA LA RECOLECCIÓN DE LOS EQUIPOS ES CL 56 41 170 APTO 503. SE ESCALA PARA VISITA | 25/08/2025 YENNIFER GÓMEZ MANIFIESTA QUE PARA MAÑANA SE PODRÍA PASAR POR LOS EQUIPOS, RECLAMARLOS EN PORTERÍA.
27/08/2025 USUARIO NO SE ENCUENTRA, NADIE QUE PUEDA ENTREGAR, SE CONSULTA CON EL CELADOR DE LA PORTERÍA EL CUAL INFORMA NO TENER INFORMACIÓN SOBRE LOS EQUIPOS</t>
  </si>
  <si>
    <t>LC-CS-25-000090</t>
  </si>
  <si>
    <t>FO-25-1420056 | FO-25-1397900</t>
  </si>
  <si>
    <t>27/08/2025 SE INTENTA COMUNICACIÓN A LOS NÚMEROS 3102951644-3203334439 PERO NO HAY CONTACTO. SE INTENTARÁ NUEVAMENTE | 21/08/2025 EN COMUNICACIÓN CON EL SR DAVID MORENO AL NÚMERO 3102951644 NOS CONFIRMA LA SOLICITUD, DATOS CORRECTOS. SE ESCALA PARA VISITA | 25/08/2025 SE REALIZA VISITA A COMERCIO ATENDIER LA SRA. MARIANA ROJAS QUIEN INDICA QUE LA PERSONA ENCARGADA DE LOS EQUIPOS LOS TIENE BAJO LLAVE, SOLICITA REALIZAR VISITA EL DÍA MIÉRCOLES 27-08-2025.
27/08/2025 SE REALIZA CONTACTO VÍA WHATSAPP CON EL SR. DAVID MORENO QUIEN INFORMA QUE NO ESTÁ EL DÍA DE HOY EN EL COMERCIO, SOLICITA PASAR EL DÍA VIERNES A RECOGER LOS EQUIPOS, SE LE ENVÍA LISTADO DE PLACAS A ENTREGAR.</t>
  </si>
  <si>
    <t>TRSZZ894</t>
  </si>
  <si>
    <t>TA-25-1034478</t>
  </si>
  <si>
    <t>REVAL ENGATIVA</t>
  </si>
  <si>
    <t>FO-25-1433937</t>
  </si>
  <si>
    <t>RETIRO VOLUNTARIO</t>
  </si>
  <si>
    <t>ROBUSTO</t>
  </si>
  <si>
    <t>REVAL</t>
  </si>
  <si>
    <t>27/08/2025 SE REALIZA RETIRO DE DATAFONO,LECTOR DE BARRAS Y PINPAD, NO ENTREGA HUB, LOS EQUIPOS SON BACKUP DEL CB ROBUSTO.</t>
  </si>
  <si>
    <t>AB00G058</t>
  </si>
  <si>
    <t>LC-CS-25-000116</t>
  </si>
  <si>
    <t>LA PEÑA</t>
  </si>
  <si>
    <t>PTM LA PEÑA PUNTO MODA J.G CR</t>
  </si>
  <si>
    <t>FO-25-1410419</t>
  </si>
  <si>
    <t>22/08/2025 EN COMUNICACIÓN CON LA SRA ADRIANA BADILLO AL NÚMERO 3215116269 NOS CONFIRMA LA SOLICITUD, NOS INDICA QUE LA DIRECCIÓN PARA LA RECOLECCIÓN DE LOS EQUIPOS ES CALLE 5A 39 194 OFICINA 702 MEDELLIN BARRIO POBLADO | 28/08/2025 SE VISITA MUNICIO LA PEÑA CUNDINAMARCA PARA CIERRE DE PUNTO  AL LLEGAR A LA DIRECCIÓN CALLE 5A#39-194 ESTÁ NO EXISTE EN EL MUNICIPIO PUESTO QUE SOLO CUENTA CON DOS CARRERAS SE VÁLIDA CON COMERCIANTES DEL PUEBLO QUIENES DESCONOCEN AL TITULAR DE LA ORDEN SE INTENTA COMUNICACIÓN TELEFÓNICA A LA LÍNEA 3215116269 DONDE CLIENTE CONFIRMA QUE LA DIRECCIÓN ESTÁ BIEN PERO PERTENECE A MEDELLÍN Y LOS EQUIPOS LOS POSEE PTM , SE PROCEDE A DILIGENCIA FORMATO ILOCALIZABLE Y SE FINALIZA ACTIVIDAD POR DIRECCIÓN NO EXISTENTE</t>
  </si>
  <si>
    <t>LC-CS-25-000139</t>
  </si>
  <si>
    <t>BARRIO LAURELES APARTADO</t>
  </si>
  <si>
    <t>FO-25-1435254 | FO-25-1424276</t>
  </si>
  <si>
    <t>26/08/2025 EN COMUNICACIÓN CON EL SR ELOY CÁRDENAS ARTEAGA AL NÚMERO 3135279633 NOS CONFIRMA LA SOLICITUD, DATOS CORRECTOS. SE ESCALA PARA VISITA
28/08/2025 CLIENTE INDICA QUE YA ENTREGO DATAFONO CON SUS PERIFECOS</t>
  </si>
  <si>
    <t>AA0UZ924</t>
  </si>
  <si>
    <t>CASTRO HENAO DANIEL ESTEBAN</t>
  </si>
  <si>
    <t>LC-CS-25-000151</t>
  </si>
  <si>
    <t>QUIMBAYA</t>
  </si>
  <si>
    <t>DISTRICOL RC RODRIGUEZ LACTEOS</t>
  </si>
  <si>
    <t>FO-25-1424075</t>
  </si>
  <si>
    <t>26/08/2025 SE INTENTA COMUICACIÓN AL NÚMERO 3124522720 SE ENCUENTRA APAGADO. SE INTENTARÁ NUEVAMENTE | 26/08/2025 SE INTENTA COMUICACIÓN AL NÚMERO 3124522720 SE ENCUENTRA APAGADO. SE INTENTARÁ NUEVAMENTE | 26/08/2025 SE INTENTA COMUICACIÓN AL NÚMERO 3124522720 SE ENCUENTRA APAGADO | 29/08/2025 SE VISITA DIRECCIÓN SE VÁLIDA CON PROPIETARIO NUEVO HE INDICA QUE EL ANTIGUO DUEÑO YA HABÍA ENTREGADO LOS EQUIPOS, SE LLAMA AL CONTACTO Y EL CLIENTE COMENTA QUE YA LOS EQUIPOS LOS HABÍA ENTREGADO AL ENCARGADO DE DISTRICOL.</t>
  </si>
  <si>
    <t>AAJ05702</t>
  </si>
  <si>
    <t>LC-CS-25-000157</t>
  </si>
  <si>
    <t>FO-25-1430297</t>
  </si>
  <si>
    <t>NO TIENE INVENTARIO ACTIVO</t>
  </si>
  <si>
    <t>27/08/2025 EN COMUNICACIÓN CON LA SRA YUDY ORTIZ AL NÚMERO 3208956660  NOS CONFIRMA LA SOLICITUD, DATOS CORRECTOS. SE ESCALA PARA VISITA, POR FAVOR LLAMAR ANTES DE DESPLAZARSE | 28/08/2025 SE VISITA COMERCIO CB BANCOLOMBIA ROBUSTO PERO LA SRA YUDI INDICA QUE EL DÍA ANTERIOR (27 DE AGOSTO 2025) EL TÉCNICO HARVEY MURCIA REALIZO LA ACTUALIZACIÓN DE LOS EQUIPOS POR LO QUE ÉL YA RETIRO TODOS LOS EQUIPOS QUE TENÍAN PARA DEVOLVER DE ESE PUNTO, SE TOMAN EVIDENCIAS DE LA VISITA Y NOS RETIRAMOS DEL PUNTO, NO SE MANIPULAN EQUIPOS.</t>
  </si>
  <si>
    <t>LC-CS-25-000166</t>
  </si>
  <si>
    <t>BARRIO SAMAN DEL NORTE - TULUA</t>
  </si>
  <si>
    <t>FO-25-1430271</t>
  </si>
  <si>
    <t>27/08/2025 EN COMUNICACIÓN CON LA SRA DIANA ALCALDE AL NÚMERO 3106811315 NOS CONFIRMA LA SOLICITUD, DATOS CORRECTOS. SE ESCALA PARA VISITA | 29/08/2025 SE VISITA ESTABLECIMIENTO, CLIENTE NO DISPONE DE EQUIPOS NI PUBLICIDAD. DICE NO RECUERDA UBICACIÓN O HABERLOS TENIDO</t>
  </si>
  <si>
    <t xml:space="preserve">NO APLICA </t>
  </si>
  <si>
    <t>LC-CS-25-000179</t>
  </si>
  <si>
    <t>FO-25-1442661</t>
  </si>
  <si>
    <t>29/08/2025 SE INTENTA COMUNICACIÓN A LOS NÚMEROS 2897707-3104605936 SUENA PERO NO HAY CONTACTO. SE INTENTARÁ NUEVAMENTE | 29/08/2025 SE INTENTA COMUNICACIÓN A LOS NÚMEROS 2897707-3104605936 SUENA PERO NO HAY CONTACTO. SE INTENTARÁ NUEVAMENTE | 29/08/2025 SE INTENTA COMUNICACIÓN A LOS NÚMEROS 2897707-3104605936 SUENA PERO NO HAY CONTACTO | 30/08/2025 SE COMUNICA CON EL USUARIO PARA LA RECOGIDA DE LOS EQUIPOS HE INDICA QUE NO ESTÁ DISPONIBLE EL DÍA DE HOY SÁBADO PERO QUE YA SOLUCIONO LO DEL CORRESPONSAL BANCARIO Y QUE SE LO VUELVEN A HABILITAR LA PRÓXIMA SEMANA</t>
  </si>
  <si>
    <t>LC-CS-25-000201</t>
  </si>
  <si>
    <t>BARRIO RESTREPO 13 BOGOTA</t>
  </si>
  <si>
    <t>FO-25-1442717</t>
  </si>
  <si>
    <t>29/08/2025 EN COMUNICACIÓN CON LA SRA DIANA VIRGINIA DAZA RAMIREZ AL NÚMERO 3142711836 NOS CONFIRMA LA SOLICITUD, NOS INDICA QUE LA DIRECCIÓN PARA LA RECOLECCIÓN DE LOS EQUIPOS ES CL 31 C SUR # 6 C 22 F. SE ESCALA PARA VISITA, POR FAVOR LLAMAR ANTES DE DESPLAZARSE | 30/08/2025 SE LLEGA AL COMERCIO SE VALÍA CERRADO SE MARCA EL NÚMERO DE CONTACTO 3142711836 CLIENTE INFORMA QUE NO PUEDE ATENDER EL DÍA DE HOY</t>
  </si>
  <si>
    <t>GOMEZ VEGA DAVID SNEYDER</t>
  </si>
  <si>
    <t>LC-CS-25-000204</t>
  </si>
  <si>
    <t>BARRIO ESTANCIA BOGOTA 3</t>
  </si>
  <si>
    <t>FO-25-1442705</t>
  </si>
  <si>
    <t>29/08/2025 EN COMUNICACIÓN CON LA SRA CARMEN PINEDA AL NÚMERO 3223113921 NOS CONFRIMA LA SOLICITUD, DATOS CORRECTOS. SE ESCALA PARA VISITA, POR FAVOR LLAMAR ANTES DE DESPLAZARSE | 30/08/2025 DURANTE LA VISITA DE TECNICA PARA ATENDER CIERRE DE CORRESPONSAL BANCARIO LO CUAL NO ES POSIBLE PORQUE COMERCIO SE ENCUENTRA CERRADO Y NO SE EVIDENCIA LA EXISTENCIA DEL CB  SE LLAMA AL CELULAR 3223113921 EL CUAL SE ENCUENTRA APAGADO SE PROCEDE AL CIERRE DE LA ACTIVIDAD</t>
  </si>
  <si>
    <t>LC-CS-25-000202</t>
  </si>
  <si>
    <t>BARRIO ZARAZOTA BOGOTA</t>
  </si>
  <si>
    <t>FO-25-1442612</t>
  </si>
  <si>
    <t>29/08/2025 SE INTENTA COMUNICACIÓN AL NÚMERO 5678235-3123456788 APAGADO. SE INTENTARÁ NUEVAMENTE | 29/08/2025 SE INTENTA COMUNICACIÓN AL NÚMERO 5678235-3123456788 APAGADO. SE INTENTARÁ NUEVAMENTE | 29/08/2025 SE INTENTA COMUNICACIÓN AL NÚMERO 5678235-3123456788 APAGADO | 30/08/2025 SE REALIZA VISITA DE CAMPO ENCONTRADO QUE COMERCIO NO EXISTE EN DIRECCIÓN INDICADA EN RUTA, SE INTENTA CONTACTAR A LA LÍNEA TELEFÓNICA 3123456788 NO HAY RESPUESTA. POR LO ANTERIOR SE INFORMA A SUPERVISOR QUIEN AUTORIZA CIERRE DE VISITA</t>
  </si>
  <si>
    <t>LOZADA ROJAS CHRISTIAN ANDRES</t>
  </si>
  <si>
    <t>LC-CS-25-000191</t>
  </si>
  <si>
    <t>BARRIO AEROPUERTO CUCUTA 15</t>
  </si>
  <si>
    <t>FO-25-1442461</t>
  </si>
  <si>
    <t>29/08/2025 SE INTENTA COMUNICACIÓN A LOS NÚMEROS 3142975292 SUSPENDIDO-3183262137 SUENA PERO NO HAY CONTACTO. SE INTENTARÁ NUEVAMENTE | 29/08/2025 SE INTENTA COMUNICACIÓN AL NÚMERO 3183262137 SUENA PERO NO HAY CONTACTO. SE INTENTARÁ NUEVAMENTE | 29/08/2025 SE INTENTA COMUNICACIÓN AL NÚMERO 3183262137 SUENA PERO NO HAY CONTACTO | 30/08/2025 SE VISITA COMERCIO EN SITIO, NO SE ENCUENTRA CB, SE INTENTA COMUNICACION CON EL CLIENTE, TELEFONO FUERA DE SERVICIO, CB ILOCALIZABLE.</t>
  </si>
  <si>
    <t>COD. CIUDAD</t>
  </si>
  <si>
    <t>DESDE DONDE SE ATIENDE</t>
  </si>
  <si>
    <t>TIPO DE TRAYECTO NUEVO</t>
  </si>
  <si>
    <t>TIPOLOGIA NUEVA</t>
  </si>
  <si>
    <t>LA VICTORIA</t>
  </si>
  <si>
    <t>AMAZONAS</t>
  </si>
  <si>
    <t>AEREO</t>
  </si>
  <si>
    <t>PUERTO SANTANDER</t>
  </si>
  <si>
    <t>EL ENCANTO</t>
  </si>
  <si>
    <t>LA CHORRERA</t>
  </si>
  <si>
    <t>LA PEDRERA</t>
  </si>
  <si>
    <t>LETICIA</t>
  </si>
  <si>
    <t>MIRITI - PARANA</t>
  </si>
  <si>
    <t>PUERTO ALEGRIA</t>
  </si>
  <si>
    <t>PUERTO ARICA</t>
  </si>
  <si>
    <t>PUERTO NARIÑO</t>
  </si>
  <si>
    <t>TARAPACA</t>
  </si>
  <si>
    <t>ARGELIA</t>
  </si>
  <si>
    <t>TERRESTRE</t>
  </si>
  <si>
    <t>BARBOSA</t>
  </si>
  <si>
    <t>BETULIA</t>
  </si>
  <si>
    <t>BRICEÑO</t>
  </si>
  <si>
    <t>CALDAS</t>
  </si>
  <si>
    <t>CONCEPCION</t>
  </si>
  <si>
    <t>CONCORDIA</t>
  </si>
  <si>
    <t>GRANADA</t>
  </si>
  <si>
    <t>GUADALUPE</t>
  </si>
  <si>
    <t>JERICO</t>
  </si>
  <si>
    <t>LA UNION</t>
  </si>
  <si>
    <t>RIONEGRO</t>
  </si>
  <si>
    <t>SABANALARGA</t>
  </si>
  <si>
    <t>SAN CARLOS</t>
  </si>
  <si>
    <t>SAN FRANCISCO</t>
  </si>
  <si>
    <t>SAN PEDRO DE LOS MILAGROS</t>
  </si>
  <si>
    <t>SANTA BARBARA</t>
  </si>
  <si>
    <t>TOLEDO</t>
  </si>
  <si>
    <t>VALPARAISO</t>
  </si>
  <si>
    <t>VENECIA</t>
  </si>
  <si>
    <t>ABEJORRAL</t>
  </si>
  <si>
    <t>ABRIAQUI</t>
  </si>
  <si>
    <t>ALEJANDRIA</t>
  </si>
  <si>
    <t>AMAGA</t>
  </si>
  <si>
    <t>AMALFI</t>
  </si>
  <si>
    <t>ANDES</t>
  </si>
  <si>
    <t>ANGELOPOLIS</t>
  </si>
  <si>
    <t>ANGOSTURA</t>
  </si>
  <si>
    <t>ANORI</t>
  </si>
  <si>
    <t>ANZA</t>
  </si>
  <si>
    <t>ARBOLETES</t>
  </si>
  <si>
    <t>BELMIRA</t>
  </si>
  <si>
    <t>BETANIA</t>
  </si>
  <si>
    <t>BURITICA</t>
  </si>
  <si>
    <t>CACERES</t>
  </si>
  <si>
    <t>CAICEDO</t>
  </si>
  <si>
    <t>CAMPAMENTO</t>
  </si>
  <si>
    <t>CAÑASGORDAS</t>
  </si>
  <si>
    <t>CARACOLI</t>
  </si>
  <si>
    <t>CARAMANTA</t>
  </si>
  <si>
    <t>CAREPA</t>
  </si>
  <si>
    <t>CAROLINA</t>
  </si>
  <si>
    <t>CAUCASIA</t>
  </si>
  <si>
    <t>CISNEROS</t>
  </si>
  <si>
    <t>CIUDAD BOLIVAR</t>
  </si>
  <si>
    <t>COPACABANA</t>
  </si>
  <si>
    <t>DABEIBA</t>
  </si>
  <si>
    <t>DON MATIAS</t>
  </si>
  <si>
    <t>EBEJICO</t>
  </si>
  <si>
    <t>EL BAGRE</t>
  </si>
  <si>
    <t>EL CARMEN DE VIBORAL</t>
  </si>
  <si>
    <t>EL SANTUARIO</t>
  </si>
  <si>
    <t>ENTRERRIOS</t>
  </si>
  <si>
    <t>FREDONIA</t>
  </si>
  <si>
    <t>FRONTINO</t>
  </si>
  <si>
    <t>GIRALDO</t>
  </si>
  <si>
    <t>GOMEZ PLATA</t>
  </si>
  <si>
    <t>GUATAPE</t>
  </si>
  <si>
    <t>HELICONIA</t>
  </si>
  <si>
    <t>HISPANIA</t>
  </si>
  <si>
    <t>ITAGUI</t>
  </si>
  <si>
    <t>ITUANGO</t>
  </si>
  <si>
    <t>JARDIN</t>
  </si>
  <si>
    <t>LA CEJA</t>
  </si>
  <si>
    <t>LA ESTRELLA</t>
  </si>
  <si>
    <t>LA PINTADA</t>
  </si>
  <si>
    <t>LIBORINA</t>
  </si>
  <si>
    <t>MACEO</t>
  </si>
  <si>
    <t>MONTEBELLO</t>
  </si>
  <si>
    <t>MURINDO</t>
  </si>
  <si>
    <t>FLUVIAL</t>
  </si>
  <si>
    <t>MUTATA</t>
  </si>
  <si>
    <t>NECHI</t>
  </si>
  <si>
    <t>OLAYA</t>
  </si>
  <si>
    <t>PEÑOL</t>
  </si>
  <si>
    <t>PEQUE</t>
  </si>
  <si>
    <t>PUEBLORRICO</t>
  </si>
  <si>
    <t>PUERTO BERRIO</t>
  </si>
  <si>
    <t>PUERTO NARE</t>
  </si>
  <si>
    <t>PUERTO TRIUNFO</t>
  </si>
  <si>
    <t>REMEDIOS</t>
  </si>
  <si>
    <t>RETIRO</t>
  </si>
  <si>
    <t>SABANETA</t>
  </si>
  <si>
    <t>SALGAR</t>
  </si>
  <si>
    <t>SAN ANDRES DE CUERQUIA</t>
  </si>
  <si>
    <t>SAN JERONIMO</t>
  </si>
  <si>
    <t>SAN JOSE DE LA MONTAÑA</t>
  </si>
  <si>
    <t>SAN JUAN DE URABA</t>
  </si>
  <si>
    <t>SAN PEDRO DE URABA</t>
  </si>
  <si>
    <t>SAN RAFAEL</t>
  </si>
  <si>
    <t>SAN ROQUE</t>
  </si>
  <si>
    <t>SAN VICENTE</t>
  </si>
  <si>
    <t>SANTA FE DE ANTIOQUIA</t>
  </si>
  <si>
    <t>SANTA ROSA DE OSOS</t>
  </si>
  <si>
    <t>SANTO DOMINGO</t>
  </si>
  <si>
    <t>SEGOVIA</t>
  </si>
  <si>
    <t>SONSON</t>
  </si>
  <si>
    <t>SOPETRAN</t>
  </si>
  <si>
    <t>TAMESIS</t>
  </si>
  <si>
    <t>TARAZA</t>
  </si>
  <si>
    <t>TARSO</t>
  </si>
  <si>
    <t>TITIRIBI</t>
  </si>
  <si>
    <t>URAMITA</t>
  </si>
  <si>
    <t>URRAO</t>
  </si>
  <si>
    <t>VALDIVIA</t>
  </si>
  <si>
    <t>VEGACHI</t>
  </si>
  <si>
    <t>VIGIA DEL FUERTE</t>
  </si>
  <si>
    <t>YALI</t>
  </si>
  <si>
    <t>YARUMAL</t>
  </si>
  <si>
    <t>YOLOMBO</t>
  </si>
  <si>
    <t>YONDO</t>
  </si>
  <si>
    <t>ZARAGOZA</t>
  </si>
  <si>
    <t>ARAUCA</t>
  </si>
  <si>
    <t>ARAUQUITA</t>
  </si>
  <si>
    <t>CRAVO NORTE</t>
  </si>
  <si>
    <t>FORTUL</t>
  </si>
  <si>
    <t>PUERTO RONDON</t>
  </si>
  <si>
    <t>SARAVENA</t>
  </si>
  <si>
    <t>TAME</t>
  </si>
  <si>
    <t>CANDELARIA</t>
  </si>
  <si>
    <t>PUERTO COLOMBIA</t>
  </si>
  <si>
    <t>BARANOA</t>
  </si>
  <si>
    <t>CAMPO DE LA CRUZ</t>
  </si>
  <si>
    <t>GALAPA</t>
  </si>
  <si>
    <t>JUAN DE ACOSTA</t>
  </si>
  <si>
    <t>LURUACO</t>
  </si>
  <si>
    <t>MALAMBO</t>
  </si>
  <si>
    <t>PALMAR DE VARELA</t>
  </si>
  <si>
    <t>PIOJO</t>
  </si>
  <si>
    <t>POLONUEVO</t>
  </si>
  <si>
    <t>PONEDERA</t>
  </si>
  <si>
    <t>REPELON</t>
  </si>
  <si>
    <t>SABANAGRANDE</t>
  </si>
  <si>
    <t>SANTA LUCIA</t>
  </si>
  <si>
    <t>SANTO TOMAS</t>
  </si>
  <si>
    <t>SUAN</t>
  </si>
  <si>
    <t>TUBARA</t>
  </si>
  <si>
    <t>USIACURI</t>
  </si>
  <si>
    <t>CALAMAR</t>
  </si>
  <si>
    <t>EL PEÑON</t>
  </si>
  <si>
    <t>MORALES</t>
  </si>
  <si>
    <t>SAN PABLO</t>
  </si>
  <si>
    <t>TERRESTRE/FLUVIAL</t>
  </si>
  <si>
    <t>SANTA ROSA</t>
  </si>
  <si>
    <t>ACHI</t>
  </si>
  <si>
    <t>ALTOS DEL ROSARIO</t>
  </si>
  <si>
    <t>ARENAL</t>
  </si>
  <si>
    <t>ARJONA</t>
  </si>
  <si>
    <t>ARROYOHONDO</t>
  </si>
  <si>
    <t>BARRANCO DE LOBA</t>
  </si>
  <si>
    <t>CANTAGALLO</t>
  </si>
  <si>
    <t>CICUCO</t>
  </si>
  <si>
    <t>CLEMENCIA</t>
  </si>
  <si>
    <t>EL CARMEN DE BOLIVAR</t>
  </si>
  <si>
    <t>EL GUAMO</t>
  </si>
  <si>
    <t>HATILLO DE LOBA</t>
  </si>
  <si>
    <t>MAGANGUE</t>
  </si>
  <si>
    <t>MAHATES</t>
  </si>
  <si>
    <t>MARGARITA</t>
  </si>
  <si>
    <t>MARIA LA BAJA</t>
  </si>
  <si>
    <t>MOMPOS</t>
  </si>
  <si>
    <t>MONTECRISTO</t>
  </si>
  <si>
    <t>NOROSI</t>
  </si>
  <si>
    <t>PINILLOS</t>
  </si>
  <si>
    <t>REGIDOR</t>
  </si>
  <si>
    <t>RIO VIEJO</t>
  </si>
  <si>
    <t>SAN CRISTOBAL</t>
  </si>
  <si>
    <t>SAN ESTANISLAO</t>
  </si>
  <si>
    <t>SAN FERNANDO</t>
  </si>
  <si>
    <t>SAN JACINTO</t>
  </si>
  <si>
    <t>SAN JACINTO DEL CAUCA</t>
  </si>
  <si>
    <t>SAN JUAN NEPOMUCENO</t>
  </si>
  <si>
    <t>SAN MARTIN DE LOBA</t>
  </si>
  <si>
    <t>SANTA CATALINA</t>
  </si>
  <si>
    <t>SANTA ROSA DEL SUR</t>
  </si>
  <si>
    <t>SIMITI</t>
  </si>
  <si>
    <t>SOPLAVIENTO</t>
  </si>
  <si>
    <t>TALAIGUA NUEVO</t>
  </si>
  <si>
    <t>TIQUISIO</t>
  </si>
  <si>
    <t>TURBACO</t>
  </si>
  <si>
    <t>TURBANA</t>
  </si>
  <si>
    <t>ZAMBRANO</t>
  </si>
  <si>
    <t>BUENAVISTA</t>
  </si>
  <si>
    <t>CIENAGA</t>
  </si>
  <si>
    <t>MIRAFLORES</t>
  </si>
  <si>
    <t>PAEZ</t>
  </si>
  <si>
    <t>SANTA MARIA</t>
  </si>
  <si>
    <t>ALMEIDA</t>
  </si>
  <si>
    <t>AQUITANIA</t>
  </si>
  <si>
    <t>ARCABUCO</t>
  </si>
  <si>
    <t>BERBEO</t>
  </si>
  <si>
    <t>BETEITIVA</t>
  </si>
  <si>
    <t>BOAVITA</t>
  </si>
  <si>
    <t>BUSBANZA</t>
  </si>
  <si>
    <t>CAMPOHERMOSO</t>
  </si>
  <si>
    <t>CERINZA</t>
  </si>
  <si>
    <t>CHINAVITA</t>
  </si>
  <si>
    <t>CHIQUINQUIRA</t>
  </si>
  <si>
    <t>CHIQUIZA</t>
  </si>
  <si>
    <t>CHISCAS</t>
  </si>
  <si>
    <t>CHITA</t>
  </si>
  <si>
    <t>CHITARAQUE</t>
  </si>
  <si>
    <t>CHIVATA</t>
  </si>
  <si>
    <t>CHIVOR</t>
  </si>
  <si>
    <t>COMBITA</t>
  </si>
  <si>
    <t>COPER</t>
  </si>
  <si>
    <t>CORRALES</t>
  </si>
  <si>
    <t>COVARACHIA</t>
  </si>
  <si>
    <t>CUBARA</t>
  </si>
  <si>
    <t>CUCAITA</t>
  </si>
  <si>
    <t>CUITIVA</t>
  </si>
  <si>
    <t>DUITAMA</t>
  </si>
  <si>
    <t>EL COCUY</t>
  </si>
  <si>
    <t>EL ESPINO</t>
  </si>
  <si>
    <t>FLORESTA</t>
  </si>
  <si>
    <t>GACHANTIVA</t>
  </si>
  <si>
    <t>GAMEZA</t>
  </si>
  <si>
    <t>GARAGOA</t>
  </si>
  <si>
    <t>GUACAMAYAS</t>
  </si>
  <si>
    <t>GUATEQUE</t>
  </si>
  <si>
    <t>GUAYATA</t>
  </si>
  <si>
    <t>GUICAN</t>
  </si>
  <si>
    <t>IZA</t>
  </si>
  <si>
    <t>JENESANO</t>
  </si>
  <si>
    <t>LA CAPILLA</t>
  </si>
  <si>
    <t>LA UVITA</t>
  </si>
  <si>
    <t>LABRANZAGRANDE</t>
  </si>
  <si>
    <t>MACANAL</t>
  </si>
  <si>
    <t>MARIPI</t>
  </si>
  <si>
    <t>MONGUA</t>
  </si>
  <si>
    <t>MONGUI</t>
  </si>
  <si>
    <t>MONIQUIRA</t>
  </si>
  <si>
    <t>MOTAVITA</t>
  </si>
  <si>
    <t>MUZO</t>
  </si>
  <si>
    <t>NOBSA</t>
  </si>
  <si>
    <t>NUEVO COLON</t>
  </si>
  <si>
    <t>OICATA</t>
  </si>
  <si>
    <t>OTANCHE</t>
  </si>
  <si>
    <t>PACHAVITA</t>
  </si>
  <si>
    <t>PAIPA</t>
  </si>
  <si>
    <t>PAJARITO</t>
  </si>
  <si>
    <t>YOPAL</t>
  </si>
  <si>
    <t>PANQUEBA</t>
  </si>
  <si>
    <t>PAUNA</t>
  </si>
  <si>
    <t>PAYA</t>
  </si>
  <si>
    <t>PAZ DE RIO</t>
  </si>
  <si>
    <t>PESCA</t>
  </si>
  <si>
    <t>PISBA</t>
  </si>
  <si>
    <t>PUERTO BOYACA</t>
  </si>
  <si>
    <t>QUIPAMA</t>
  </si>
  <si>
    <t>RAMIRIQUI</t>
  </si>
  <si>
    <t>RAQUIRA</t>
  </si>
  <si>
    <t>RONDON</t>
  </si>
  <si>
    <t>SABOYA</t>
  </si>
  <si>
    <t>SACHICA</t>
  </si>
  <si>
    <t>SAMACA</t>
  </si>
  <si>
    <t>SAN EDUARDO</t>
  </si>
  <si>
    <t>SAN JOSE DE PARE</t>
  </si>
  <si>
    <t>SAN LUIS DE GACENO</t>
  </si>
  <si>
    <t>SAN MATEO</t>
  </si>
  <si>
    <t>SAN MIGUEL DE SEMA</t>
  </si>
  <si>
    <t>SAN PABLO DE BORBUR</t>
  </si>
  <si>
    <t>SANTA ROSA DE VITERBO</t>
  </si>
  <si>
    <t>SANTA SOFIA</t>
  </si>
  <si>
    <t>SANTANA</t>
  </si>
  <si>
    <t>SATIVANORTE</t>
  </si>
  <si>
    <t>SATIVASUR</t>
  </si>
  <si>
    <t>SIACHOQUE</t>
  </si>
  <si>
    <t>SOATA</t>
  </si>
  <si>
    <t>SOCHA</t>
  </si>
  <si>
    <t>SOCOTA</t>
  </si>
  <si>
    <t>SOGAMOSO</t>
  </si>
  <si>
    <t>SOMONDOCO</t>
  </si>
  <si>
    <t>SORA</t>
  </si>
  <si>
    <t>SORACA</t>
  </si>
  <si>
    <t>SOTAQUIRA</t>
  </si>
  <si>
    <t>SUSACON</t>
  </si>
  <si>
    <t>SUTAMARCHAN</t>
  </si>
  <si>
    <t>SUTATENZA</t>
  </si>
  <si>
    <t>TASCO</t>
  </si>
  <si>
    <t>TENZA</t>
  </si>
  <si>
    <t>TIBANA</t>
  </si>
  <si>
    <t>TIBASOSA</t>
  </si>
  <si>
    <t>TINJACA</t>
  </si>
  <si>
    <t>TIPACOQUE</t>
  </si>
  <si>
    <t>TOCA</t>
  </si>
  <si>
    <t>TOGÜI</t>
  </si>
  <si>
    <t>TOPAGA</t>
  </si>
  <si>
    <t>TOTA</t>
  </si>
  <si>
    <t>TUNUNGUA</t>
  </si>
  <si>
    <t>TURMEQUE</t>
  </si>
  <si>
    <t>TUTA</t>
  </si>
  <si>
    <t>TUTAZA</t>
  </si>
  <si>
    <t>UMBITA</t>
  </si>
  <si>
    <t>VENTAQUEMADA</t>
  </si>
  <si>
    <t>VILLA DE LEYVA</t>
  </si>
  <si>
    <t>VIRACACHA</t>
  </si>
  <si>
    <t>ZETAQUIRA</t>
  </si>
  <si>
    <t>PALESTINA</t>
  </si>
  <si>
    <t>MANIZALES</t>
  </si>
  <si>
    <t>SALAMINA</t>
  </si>
  <si>
    <t>AGUADAS</t>
  </si>
  <si>
    <t>ANSERMA</t>
  </si>
  <si>
    <t>ARANZAZU</t>
  </si>
  <si>
    <t>BELALCAZAR</t>
  </si>
  <si>
    <t>CHINCHINA</t>
  </si>
  <si>
    <t>FILADELFIA</t>
  </si>
  <si>
    <t>LA DORADA</t>
  </si>
  <si>
    <t>LA MERCED</t>
  </si>
  <si>
    <t>MANZANARES</t>
  </si>
  <si>
    <t>MARMATO</t>
  </si>
  <si>
    <t>MARQUETALIA</t>
  </si>
  <si>
    <t>MARULANDA</t>
  </si>
  <si>
    <t>NEIRA</t>
  </si>
  <si>
    <t>NORCASIA</t>
  </si>
  <si>
    <t>PACORA</t>
  </si>
  <si>
    <t>PENSILVANIA</t>
  </si>
  <si>
    <t>RISARALDA</t>
  </si>
  <si>
    <t>SAMANA</t>
  </si>
  <si>
    <t>SAN JOSE</t>
  </si>
  <si>
    <t>SUPIA</t>
  </si>
  <si>
    <t>VICTORIA</t>
  </si>
  <si>
    <t>VILLAMARIA</t>
  </si>
  <si>
    <t>VITERBO</t>
  </si>
  <si>
    <t>ALBANIA</t>
  </si>
  <si>
    <t>FLORENCIA</t>
  </si>
  <si>
    <t>BELEN DE LOS ANDAQUIES</t>
  </si>
  <si>
    <t>CARTAGENA DEL CHAIRA</t>
  </si>
  <si>
    <t>CURILLO</t>
  </si>
  <si>
    <t>EL DONCELLO</t>
  </si>
  <si>
    <t>EL PAUJIL</t>
  </si>
  <si>
    <t>LA MONTAÑITA</t>
  </si>
  <si>
    <t>MILAN</t>
  </si>
  <si>
    <t>MORELIA</t>
  </si>
  <si>
    <t>SAN JOSE DEL FRAGUA</t>
  </si>
  <si>
    <t>SAN VICENTE DEL CAGUAN</t>
  </si>
  <si>
    <t>TERRESTRE / AEREO</t>
  </si>
  <si>
    <t>SOLANO</t>
  </si>
  <si>
    <t>SOLITA</t>
  </si>
  <si>
    <t>AGUAZUL</t>
  </si>
  <si>
    <t>CHAMEZA</t>
  </si>
  <si>
    <t>HATO COROZAL</t>
  </si>
  <si>
    <t>LA SALINA</t>
  </si>
  <si>
    <t>MANI</t>
  </si>
  <si>
    <t>MONTERREY</t>
  </si>
  <si>
    <t>NUNCHIA</t>
  </si>
  <si>
    <t>OROCUE</t>
  </si>
  <si>
    <t>PAZ DE ARIPORO</t>
  </si>
  <si>
    <t>PORE</t>
  </si>
  <si>
    <t>RECETOR</t>
  </si>
  <si>
    <t>SACAMA</t>
  </si>
  <si>
    <t>SAN LUIS DE PALENQUE</t>
  </si>
  <si>
    <t>TAMARA</t>
  </si>
  <si>
    <t>TAURAMENA</t>
  </si>
  <si>
    <t>TRINIDAD</t>
  </si>
  <si>
    <t>BALBOA</t>
  </si>
  <si>
    <t>EL TAMBO</t>
  </si>
  <si>
    <t>LA VEGA</t>
  </si>
  <si>
    <t>SUAREZ</t>
  </si>
  <si>
    <t>SUCRE</t>
  </si>
  <si>
    <t>ALMAGUER</t>
  </si>
  <si>
    <t>BUENOS AIRES</t>
  </si>
  <si>
    <t>CAJIBIO</t>
  </si>
  <si>
    <t>CALDONO</t>
  </si>
  <si>
    <t>CALOTO</t>
  </si>
  <si>
    <t>CORINTO</t>
  </si>
  <si>
    <t>GUACHENE</t>
  </si>
  <si>
    <t>GUAPI</t>
  </si>
  <si>
    <t>INZA</t>
  </si>
  <si>
    <t>JAMBALO</t>
  </si>
  <si>
    <t>LA SIERRA</t>
  </si>
  <si>
    <t>LOPEZ</t>
  </si>
  <si>
    <t>MERCADERES</t>
  </si>
  <si>
    <t>MIRANDA</t>
  </si>
  <si>
    <t>PADILLA</t>
  </si>
  <si>
    <t>PATIA</t>
  </si>
  <si>
    <t>PIAMONTE</t>
  </si>
  <si>
    <t>POPAYAN</t>
  </si>
  <si>
    <t>PUERTO TEJADA</t>
  </si>
  <si>
    <t>PURACE</t>
  </si>
  <si>
    <t>ROSAS</t>
  </si>
  <si>
    <t>SAN SEBASTIAN</t>
  </si>
  <si>
    <t>SANTANDER DE QUILICHAO</t>
  </si>
  <si>
    <t>SILVIA</t>
  </si>
  <si>
    <t>SOTARA</t>
  </si>
  <si>
    <t>TIMBIO</t>
  </si>
  <si>
    <t>TIMBIQUI</t>
  </si>
  <si>
    <t>TORIBIO</t>
  </si>
  <si>
    <t>TOTORO</t>
  </si>
  <si>
    <t>VILLA RICA</t>
  </si>
  <si>
    <t>LA PAZ</t>
  </si>
  <si>
    <t>MANAURE</t>
  </si>
  <si>
    <t>SAN MARTIN</t>
  </si>
  <si>
    <t>AGUACHICA</t>
  </si>
  <si>
    <t>AGUSTIN CODAZZI</t>
  </si>
  <si>
    <t>ASTREA</t>
  </si>
  <si>
    <t>BECERRIL</t>
  </si>
  <si>
    <t>BOSCONIA</t>
  </si>
  <si>
    <t>CHIMICHAGUA</t>
  </si>
  <si>
    <t>CHIRIGUANA</t>
  </si>
  <si>
    <t>CURUMANI</t>
  </si>
  <si>
    <t>EL COPEY</t>
  </si>
  <si>
    <t>EL PASO</t>
  </si>
  <si>
    <t>GAMARRA</t>
  </si>
  <si>
    <t>GONZALEZ</t>
  </si>
  <si>
    <t>LA GLORIA</t>
  </si>
  <si>
    <t>LA JAGUA DE IBIRICO</t>
  </si>
  <si>
    <t>PAILITAS</t>
  </si>
  <si>
    <t>PELAYA</t>
  </si>
  <si>
    <t>PUEBLO BELLO</t>
  </si>
  <si>
    <t>RIO DE ORO</t>
  </si>
  <si>
    <t>SAN ALBERTO</t>
  </si>
  <si>
    <t>SAN DIEGO</t>
  </si>
  <si>
    <t>ACANDI</t>
  </si>
  <si>
    <t>ALTO BAUDO</t>
  </si>
  <si>
    <t>ATRATO</t>
  </si>
  <si>
    <t>BAGADO</t>
  </si>
  <si>
    <t>BAHIA SOLANO</t>
  </si>
  <si>
    <t>BELEN DE BAJIRA</t>
  </si>
  <si>
    <t>BOJAYA</t>
  </si>
  <si>
    <t>CARMEN DEL DARIEN</t>
  </si>
  <si>
    <t>CERTEGUI</t>
  </si>
  <si>
    <t>CONDOTO</t>
  </si>
  <si>
    <t>EL CANTON DEL SAN PABLO</t>
  </si>
  <si>
    <t>EL CARMEN DE ATRATO</t>
  </si>
  <si>
    <t>EL LITORAL DEL SAN JUAN</t>
  </si>
  <si>
    <t>TERRESTRE / FLUVIAL</t>
  </si>
  <si>
    <t>ISTMINA</t>
  </si>
  <si>
    <t>JURADO</t>
  </si>
  <si>
    <t>LLORO</t>
  </si>
  <si>
    <t>MEDIO ATRATO</t>
  </si>
  <si>
    <t>MEDIO BAUDO</t>
  </si>
  <si>
    <t>MEDIO SAN JUAN</t>
  </si>
  <si>
    <t>NOVITA</t>
  </si>
  <si>
    <t>NUQUI</t>
  </si>
  <si>
    <t>QUIBDO</t>
  </si>
  <si>
    <t>RIO IRO</t>
  </si>
  <si>
    <t>RIO QUITO</t>
  </si>
  <si>
    <t>SAN JOSE DEL PALMAR</t>
  </si>
  <si>
    <t>SIPI</t>
  </si>
  <si>
    <t>TADO</t>
  </si>
  <si>
    <t>UNGUIA</t>
  </si>
  <si>
    <t>CHIMA</t>
  </si>
  <si>
    <t>CANALETE</t>
  </si>
  <si>
    <t>CERETE</t>
  </si>
  <si>
    <t>CHINU</t>
  </si>
  <si>
    <t>CIENAGA DE ORO</t>
  </si>
  <si>
    <t>COTORRA</t>
  </si>
  <si>
    <t>LA APARTADA</t>
  </si>
  <si>
    <t>LORICA</t>
  </si>
  <si>
    <t>LOS CORDOBAS</t>
  </si>
  <si>
    <t>MOMIL</t>
  </si>
  <si>
    <t>MONTELIBANO</t>
  </si>
  <si>
    <t>MOÑITOS</t>
  </si>
  <si>
    <t>PLANETA RICA</t>
  </si>
  <si>
    <t>PUEBLO NUEVO</t>
  </si>
  <si>
    <t>PUERTO ESCONDIDO</t>
  </si>
  <si>
    <t>PUERTO LIBERTADOR</t>
  </si>
  <si>
    <t>PURISIMA</t>
  </si>
  <si>
    <t>SAHAGUN</t>
  </si>
  <si>
    <t>SAN ANDRES SOTAVENTO</t>
  </si>
  <si>
    <t>SAN ANTERO</t>
  </si>
  <si>
    <t>SAN BERNARDO DEL VIENTO</t>
  </si>
  <si>
    <t>SAN PELAYO</t>
  </si>
  <si>
    <t>TIERRALTA</t>
  </si>
  <si>
    <t>VALENCIA</t>
  </si>
  <si>
    <t>ALBAN</t>
  </si>
  <si>
    <t>CABRERA</t>
  </si>
  <si>
    <t>MOSQUERA</t>
  </si>
  <si>
    <t>RICAURTE</t>
  </si>
  <si>
    <t>SAN BERNARDO</t>
  </si>
  <si>
    <t>SAN CAYETANO</t>
  </si>
  <si>
    <t>AGUA DE DIOS</t>
  </si>
  <si>
    <t>ANAPOIMA</t>
  </si>
  <si>
    <t>ANOLAIMA</t>
  </si>
  <si>
    <t>APULO</t>
  </si>
  <si>
    <t>ARBELAEZ</t>
  </si>
  <si>
    <t>BELTRAN</t>
  </si>
  <si>
    <t>BITUIMA</t>
  </si>
  <si>
    <t>BOJACA</t>
  </si>
  <si>
    <t>CACHIPAY</t>
  </si>
  <si>
    <t>CAJICA</t>
  </si>
  <si>
    <t>CAPARRAPI</t>
  </si>
  <si>
    <t>CAQUEZA</t>
  </si>
  <si>
    <t>CARMEN DE CARUPA</t>
  </si>
  <si>
    <t>CHAGUANI</t>
  </si>
  <si>
    <t>CHIA</t>
  </si>
  <si>
    <t>CHIPAQUE</t>
  </si>
  <si>
    <t>CHOACHI</t>
  </si>
  <si>
    <t>CHOCONTA</t>
  </si>
  <si>
    <t>COTA</t>
  </si>
  <si>
    <t>CUCUNUBA</t>
  </si>
  <si>
    <t>EL COLEGIO</t>
  </si>
  <si>
    <t>EL ROSAL</t>
  </si>
  <si>
    <t>FACATATIVA</t>
  </si>
  <si>
    <t>FOMEQUE</t>
  </si>
  <si>
    <t>FOSCA</t>
  </si>
  <si>
    <t>FUNZA</t>
  </si>
  <si>
    <t>FUQUENE</t>
  </si>
  <si>
    <t>FUSAGASUGA</t>
  </si>
  <si>
    <t>GACHALA</t>
  </si>
  <si>
    <t>GACHANCIPA</t>
  </si>
  <si>
    <t>GACHETA</t>
  </si>
  <si>
    <t>GAMA</t>
  </si>
  <si>
    <t>GIRARDOT</t>
  </si>
  <si>
    <t>GUACHETA</t>
  </si>
  <si>
    <t>GUADUAS</t>
  </si>
  <si>
    <t>GUASCA</t>
  </si>
  <si>
    <t>GUATAQUI</t>
  </si>
  <si>
    <t>GUATAVITA</t>
  </si>
  <si>
    <t>GUAYABAL DE SIQUIMA</t>
  </si>
  <si>
    <t>GUAYABETAL</t>
  </si>
  <si>
    <t>GUTIERREZ</t>
  </si>
  <si>
    <t>JERUSALEN</t>
  </si>
  <si>
    <t>JUNIN</t>
  </si>
  <si>
    <t>LA CALERA</t>
  </si>
  <si>
    <t>LA MESA</t>
  </si>
  <si>
    <t>LA PALMA</t>
  </si>
  <si>
    <t>LENGUAZAQUE</t>
  </si>
  <si>
    <t>MACHETA</t>
  </si>
  <si>
    <t>MADRID</t>
  </si>
  <si>
    <t>MANTA</t>
  </si>
  <si>
    <t>MEDINA</t>
  </si>
  <si>
    <t>NEMOCON</t>
  </si>
  <si>
    <t>NILO</t>
  </si>
  <si>
    <t>NIMAIMA</t>
  </si>
  <si>
    <t>NOCAIMA</t>
  </si>
  <si>
    <t>PACHO</t>
  </si>
  <si>
    <t>PAIME</t>
  </si>
  <si>
    <t>PANDI</t>
  </si>
  <si>
    <t>PARATEBUENO</t>
  </si>
  <si>
    <t>PASCA</t>
  </si>
  <si>
    <t>PUERTO SALGAR</t>
  </si>
  <si>
    <t>PULI</t>
  </si>
  <si>
    <t>QUEBRADANEGRA</t>
  </si>
  <si>
    <t>QUETAME</t>
  </si>
  <si>
    <t>QUIPILE</t>
  </si>
  <si>
    <t>SAN ANTONIO DEL TEQUENDAMA</t>
  </si>
  <si>
    <t>SAN JUAN DE RIO SECO</t>
  </si>
  <si>
    <t>SASAIMA</t>
  </si>
  <si>
    <t>SESQUILE</t>
  </si>
  <si>
    <t>SILVANIA</t>
  </si>
  <si>
    <t>SIMIJACA</t>
  </si>
  <si>
    <t>SOACHA</t>
  </si>
  <si>
    <t>SOPO</t>
  </si>
  <si>
    <t>SUBACHOQUE</t>
  </si>
  <si>
    <t>SUESCA</t>
  </si>
  <si>
    <t>SUPATA</t>
  </si>
  <si>
    <t>SUSA</t>
  </si>
  <si>
    <t>SUTATAUSA</t>
  </si>
  <si>
    <t>TABIO</t>
  </si>
  <si>
    <t>TAUSA</t>
  </si>
  <si>
    <t>TENA</t>
  </si>
  <si>
    <t>TENJO</t>
  </si>
  <si>
    <t>TIBACUY</t>
  </si>
  <si>
    <t>TIBIRITA</t>
  </si>
  <si>
    <t>TOCAIMA</t>
  </si>
  <si>
    <t>TOPAIPI</t>
  </si>
  <si>
    <t>UBALA</t>
  </si>
  <si>
    <t>UBAQUE</t>
  </si>
  <si>
    <t>UNE</t>
  </si>
  <si>
    <t>UTICA</t>
  </si>
  <si>
    <t>VERGARA</t>
  </si>
  <si>
    <t>VIANI</t>
  </si>
  <si>
    <t>VILLA DE SAN DIEGO DE UBATE</t>
  </si>
  <si>
    <t>VILLAGOMEZ</t>
  </si>
  <si>
    <t>VILLAPINZON</t>
  </si>
  <si>
    <t>VILLETA</t>
  </si>
  <si>
    <t>VIOTA</t>
  </si>
  <si>
    <t>YACOPI</t>
  </si>
  <si>
    <t>ZIPACON</t>
  </si>
  <si>
    <t>ZIPAQUIRA</t>
  </si>
  <si>
    <t>GUAINIA</t>
  </si>
  <si>
    <t>BARRANCO MINAS</t>
  </si>
  <si>
    <t>CACAHUAL</t>
  </si>
  <si>
    <t>INIRIDA</t>
  </si>
  <si>
    <t>LA GUADALUPE</t>
  </si>
  <si>
    <t>MAPIRIPANA</t>
  </si>
  <si>
    <t>MORICHAL</t>
  </si>
  <si>
    <t>PANA PANA</t>
  </si>
  <si>
    <t>SAN FELIPE</t>
  </si>
  <si>
    <t>GUAVIARE</t>
  </si>
  <si>
    <t>EL RETORNO</t>
  </si>
  <si>
    <t>SAN JOSE DEL GUAVIARE</t>
  </si>
  <si>
    <t>ACEVEDO</t>
  </si>
  <si>
    <t>AGRADO</t>
  </si>
  <si>
    <t>AIPE</t>
  </si>
  <si>
    <t>ALGECIRAS</t>
  </si>
  <si>
    <t>ALTAMIRA</t>
  </si>
  <si>
    <t>BARAYA</t>
  </si>
  <si>
    <t>CAMPOALEGRE</t>
  </si>
  <si>
    <t>COLOMBIA</t>
  </si>
  <si>
    <t>ELIAS</t>
  </si>
  <si>
    <t>GARZON</t>
  </si>
  <si>
    <t>GIGANTE</t>
  </si>
  <si>
    <t>HOBO</t>
  </si>
  <si>
    <t>IQUIRA</t>
  </si>
  <si>
    <t>ISNOS</t>
  </si>
  <si>
    <t>LA ARGENTINA</t>
  </si>
  <si>
    <t>LA PLATA</t>
  </si>
  <si>
    <t>NATAGA</t>
  </si>
  <si>
    <t>OPORAPA</t>
  </si>
  <si>
    <t>PAICOL</t>
  </si>
  <si>
    <t>PALERMO</t>
  </si>
  <si>
    <t>PITAL</t>
  </si>
  <si>
    <t>SALADOBLANCO</t>
  </si>
  <si>
    <t>SAN AGUSTIN</t>
  </si>
  <si>
    <t>SUAZA</t>
  </si>
  <si>
    <t>TARQUI</t>
  </si>
  <si>
    <t>TELLO</t>
  </si>
  <si>
    <t>TERUEL</t>
  </si>
  <si>
    <t>TESALIA</t>
  </si>
  <si>
    <t>TIMANA</t>
  </si>
  <si>
    <t>VILLAVIEJA</t>
  </si>
  <si>
    <t>YAGUARA</t>
  </si>
  <si>
    <t>BARRANCAS</t>
  </si>
  <si>
    <t>DIBULLA</t>
  </si>
  <si>
    <t>DISTRACCION</t>
  </si>
  <si>
    <t>EL MOLINO</t>
  </si>
  <si>
    <t>FONSECA</t>
  </si>
  <si>
    <t>HATONUEVO</t>
  </si>
  <si>
    <t>LA JAGUA DEL PILAR</t>
  </si>
  <si>
    <t>RIOHACHA</t>
  </si>
  <si>
    <t>SAN JUAN DEL CESAR</t>
  </si>
  <si>
    <t>URIBIA</t>
  </si>
  <si>
    <t>URUMITA</t>
  </si>
  <si>
    <t>GUAMAL</t>
  </si>
  <si>
    <t>ALGARROBO</t>
  </si>
  <si>
    <t>ARACATACA</t>
  </si>
  <si>
    <t>ARIGUANI</t>
  </si>
  <si>
    <t>CERRO SAN ANTONIO</t>
  </si>
  <si>
    <t>CHIBOLO</t>
  </si>
  <si>
    <t>EL BANCO</t>
  </si>
  <si>
    <t>EL PIÑON</t>
  </si>
  <si>
    <t>FUNDACION</t>
  </si>
  <si>
    <t>NUEVA GRANADA</t>
  </si>
  <si>
    <t>PEDRAZA</t>
  </si>
  <si>
    <t>PIJIÑO DEL CARMEN</t>
  </si>
  <si>
    <t>PIVIJAY</t>
  </si>
  <si>
    <t>PLATO</t>
  </si>
  <si>
    <t>PUEBLOVIEJO</t>
  </si>
  <si>
    <t>REMOLINO</t>
  </si>
  <si>
    <t>SABANAS DE SAN ANGEL</t>
  </si>
  <si>
    <t>SAN SEBASTIAN DE BUENAVISTA</t>
  </si>
  <si>
    <t>SAN ZENON</t>
  </si>
  <si>
    <t>SANTA ANA</t>
  </si>
  <si>
    <t>SANTA BARBARA DE PINTO</t>
  </si>
  <si>
    <t>SITIONUEVO</t>
  </si>
  <si>
    <t>TENERIFE</t>
  </si>
  <si>
    <t>ZAPAYAN</t>
  </si>
  <si>
    <t>ZONA BANANERA</t>
  </si>
  <si>
    <t>RESTREPO</t>
  </si>
  <si>
    <t>ACACIAS</t>
  </si>
  <si>
    <t>BARRANCA DE UPIA</t>
  </si>
  <si>
    <t>CABUYARO</t>
  </si>
  <si>
    <t>CASTILLA LA NUEVA</t>
  </si>
  <si>
    <t>CUBARRAL</t>
  </si>
  <si>
    <t>CUMARAL</t>
  </si>
  <si>
    <t>EL CALVARIO</t>
  </si>
  <si>
    <t>EL CASTILLO</t>
  </si>
  <si>
    <t>EL DORADO</t>
  </si>
  <si>
    <t>FUENTE DE ORO</t>
  </si>
  <si>
    <t>LA MACARENA</t>
  </si>
  <si>
    <t>LEJANIAS</t>
  </si>
  <si>
    <t>MAPIRIPAN</t>
  </si>
  <si>
    <t>MESETAS</t>
  </si>
  <si>
    <t>PUERTO CONCORDIA</t>
  </si>
  <si>
    <t>PUERTO LLERAS</t>
  </si>
  <si>
    <t>PUERTO LOPEZ</t>
  </si>
  <si>
    <t>SAN CARLOS DE GUAROA</t>
  </si>
  <si>
    <t>SAN JUAN DE ARAMA</t>
  </si>
  <si>
    <t>SAN JUANITO</t>
  </si>
  <si>
    <t>URIBE</t>
  </si>
  <si>
    <t>VISTAHERMOSA</t>
  </si>
  <si>
    <t>PROVIDENCIA</t>
  </si>
  <si>
    <t>ALDANA</t>
  </si>
  <si>
    <t>ANCUYA</t>
  </si>
  <si>
    <t>BARBACOAS</t>
  </si>
  <si>
    <t>BUESACO</t>
  </si>
  <si>
    <t>CHACHAGUI</t>
  </si>
  <si>
    <t>CONSACA</t>
  </si>
  <si>
    <t>CONTADERO</t>
  </si>
  <si>
    <t>CUASPUD</t>
  </si>
  <si>
    <t>CUMBAL</t>
  </si>
  <si>
    <t>CUMBITARA</t>
  </si>
  <si>
    <t>EL CHARCO</t>
  </si>
  <si>
    <t>EL PEÑOL</t>
  </si>
  <si>
    <t>EL ROSARIO</t>
  </si>
  <si>
    <t>EL TABLON DE GOMEZ</t>
  </si>
  <si>
    <t>FRANCISCO PIZARRO</t>
  </si>
  <si>
    <t>FUNES</t>
  </si>
  <si>
    <t>GUACHUCAL</t>
  </si>
  <si>
    <t>GUAITARILLA</t>
  </si>
  <si>
    <t>ILES</t>
  </si>
  <si>
    <t>IMUES</t>
  </si>
  <si>
    <t>IPIALES</t>
  </si>
  <si>
    <t>LA CRUZ</t>
  </si>
  <si>
    <t>LA FLORIDA</t>
  </si>
  <si>
    <t>LA LLANADA</t>
  </si>
  <si>
    <t>LA TOLA</t>
  </si>
  <si>
    <t>LEIVA</t>
  </si>
  <si>
    <t>LINARES</t>
  </si>
  <si>
    <t>LOS ANDES</t>
  </si>
  <si>
    <t>MALLAMA</t>
  </si>
  <si>
    <t>OLAYA HERRERA</t>
  </si>
  <si>
    <t>OSPINA</t>
  </si>
  <si>
    <t>POLICARPA</t>
  </si>
  <si>
    <t>POTOSI</t>
  </si>
  <si>
    <t>PUERRES</t>
  </si>
  <si>
    <t>PUPIALES</t>
  </si>
  <si>
    <t>ROBERTO PAYAN</t>
  </si>
  <si>
    <t>SAMANIEGO</t>
  </si>
  <si>
    <t>SAN LORENZO</t>
  </si>
  <si>
    <t>SAN PEDRO DE CARTAGO</t>
  </si>
  <si>
    <t>SANDONA</t>
  </si>
  <si>
    <t>SANTACRUZ</t>
  </si>
  <si>
    <t>SAPUYES</t>
  </si>
  <si>
    <t>TAMINANGO</t>
  </si>
  <si>
    <t>TANGUA</t>
  </si>
  <si>
    <t>TUQUERRES</t>
  </si>
  <si>
    <t>YACUANQUER</t>
  </si>
  <si>
    <t>SANTIAGO</t>
  </si>
  <si>
    <t>ABREGO</t>
  </si>
  <si>
    <t>ARBOLEDAS</t>
  </si>
  <si>
    <t>BOCHALEMA</t>
  </si>
  <si>
    <t>BUCARASICA</t>
  </si>
  <si>
    <t>CACHIRA</t>
  </si>
  <si>
    <t>CACOTA</t>
  </si>
  <si>
    <t>CHINACOTA</t>
  </si>
  <si>
    <t>CHITAGA</t>
  </si>
  <si>
    <t>CONVENCION</t>
  </si>
  <si>
    <t>CUCUTILLA</t>
  </si>
  <si>
    <t>DURANIA</t>
  </si>
  <si>
    <t>EL CARMEN</t>
  </si>
  <si>
    <t>EL TARRA</t>
  </si>
  <si>
    <t>EL ZULIA</t>
  </si>
  <si>
    <t>GRAMALOTE</t>
  </si>
  <si>
    <t>HACARI</t>
  </si>
  <si>
    <t>HERRAN</t>
  </si>
  <si>
    <t>LA ESPERANZA</t>
  </si>
  <si>
    <t>LA PLAYA</t>
  </si>
  <si>
    <t>LABATECA</t>
  </si>
  <si>
    <t>LOURDES</t>
  </si>
  <si>
    <t>MUTISCUA</t>
  </si>
  <si>
    <t>PAMPLONA</t>
  </si>
  <si>
    <t>PAMPLONITA</t>
  </si>
  <si>
    <t>RAGONVALIA</t>
  </si>
  <si>
    <t>SALAZAR</t>
  </si>
  <si>
    <t>SAN CALIXTO</t>
  </si>
  <si>
    <t>SARDINATA</t>
  </si>
  <si>
    <t>SILOS</t>
  </si>
  <si>
    <t>TEORAMA</t>
  </si>
  <si>
    <t>VILLA CARO</t>
  </si>
  <si>
    <t>VILLA DEL ROSARIO</t>
  </si>
  <si>
    <t>SAN MIGUEL</t>
  </si>
  <si>
    <t>LEGUIZAMO</t>
  </si>
  <si>
    <t>MOCOA</t>
  </si>
  <si>
    <t>ORITO</t>
  </si>
  <si>
    <t>PUERTO ASIS</t>
  </si>
  <si>
    <t>PUERTO GUZMAN</t>
  </si>
  <si>
    <t>VALLE DEL GUAMUEZ</t>
  </si>
  <si>
    <t>VILLAGARZON</t>
  </si>
  <si>
    <t>CIRCASIA</t>
  </si>
  <si>
    <t>FILANDIA</t>
  </si>
  <si>
    <t>GENOVA</t>
  </si>
  <si>
    <t>LA TEBAIDA</t>
  </si>
  <si>
    <t>MONTENEGRO</t>
  </si>
  <si>
    <t>PIJAO</t>
  </si>
  <si>
    <t>SALENTO</t>
  </si>
  <si>
    <t>APIA</t>
  </si>
  <si>
    <t>BELEN DE UMBRIA</t>
  </si>
  <si>
    <t>DOSQUEBRADAS</t>
  </si>
  <si>
    <t>GUATICA</t>
  </si>
  <si>
    <t>LA CELIA</t>
  </si>
  <si>
    <t>LA VIRGINIA</t>
  </si>
  <si>
    <t>MARSELLA</t>
  </si>
  <si>
    <t>MISTRATO</t>
  </si>
  <si>
    <t>PUEBLO RICO</t>
  </si>
  <si>
    <t>QUINCHIA</t>
  </si>
  <si>
    <t>SANTA ROSA DE CABAL</t>
  </si>
  <si>
    <t>SANTUARIO</t>
  </si>
  <si>
    <t>ARCHIPIELAGO DE SAN ANDRES Y PROVIDENCIA</t>
  </si>
  <si>
    <t>SAN ANDRES</t>
  </si>
  <si>
    <t>AGUADA</t>
  </si>
  <si>
    <t>ARATOCA</t>
  </si>
  <si>
    <t>BARICHARA</t>
  </si>
  <si>
    <t>BARRANCABERMEJA</t>
  </si>
  <si>
    <t>CALIFORNIA</t>
  </si>
  <si>
    <t>CAPITANEJO</t>
  </si>
  <si>
    <t>CARCASI</t>
  </si>
  <si>
    <t>CEPITA</t>
  </si>
  <si>
    <t>CERRITO</t>
  </si>
  <si>
    <t>CHARALA</t>
  </si>
  <si>
    <t>CHARTA</t>
  </si>
  <si>
    <t>CHIPATA</t>
  </si>
  <si>
    <t>CIMITARRA</t>
  </si>
  <si>
    <t>CONFINES</t>
  </si>
  <si>
    <t>CONTRATACION</t>
  </si>
  <si>
    <t>COROMORO</t>
  </si>
  <si>
    <t>CURITI</t>
  </si>
  <si>
    <t>EL GUACAMAYO</t>
  </si>
  <si>
    <t>EL PLAYON</t>
  </si>
  <si>
    <t>ENCINO</t>
  </si>
  <si>
    <t>ENCISO</t>
  </si>
  <si>
    <t>FLORIAN</t>
  </si>
  <si>
    <t>FLORIDABLANCA</t>
  </si>
  <si>
    <t>GALAN</t>
  </si>
  <si>
    <t>GAMBITA</t>
  </si>
  <si>
    <t>GUACA</t>
  </si>
  <si>
    <t>GUAPOTA</t>
  </si>
  <si>
    <t>GUAVATA</t>
  </si>
  <si>
    <t>GUEPSA</t>
  </si>
  <si>
    <t>HATO</t>
  </si>
  <si>
    <t>JESUS MARIA</t>
  </si>
  <si>
    <t>JORDAN</t>
  </si>
  <si>
    <t>LA BELLEZA</t>
  </si>
  <si>
    <t>LANDAZURI</t>
  </si>
  <si>
    <t>LEBRIJA</t>
  </si>
  <si>
    <t>LOS SANTOS</t>
  </si>
  <si>
    <t>MACARAVITA</t>
  </si>
  <si>
    <t>MALAGA</t>
  </si>
  <si>
    <t>MATANZA</t>
  </si>
  <si>
    <t>MOGOTES</t>
  </si>
  <si>
    <t>MOLAGAVITA</t>
  </si>
  <si>
    <t>OCAMONTE</t>
  </si>
  <si>
    <t>OIBA</t>
  </si>
  <si>
    <t>ONZAGA</t>
  </si>
  <si>
    <t>PALMAR</t>
  </si>
  <si>
    <t>PALMAS DEL SOCORRO</t>
  </si>
  <si>
    <t>PARAMO</t>
  </si>
  <si>
    <t>PIEDECUESTA</t>
  </si>
  <si>
    <t>PINCHOTE</t>
  </si>
  <si>
    <t>PUENTE NACIONAL</t>
  </si>
  <si>
    <t>PUERTO PARRA</t>
  </si>
  <si>
    <t>PUERTO WILCHES</t>
  </si>
  <si>
    <t>SABANA DE TORRES</t>
  </si>
  <si>
    <t>SAN BENITO</t>
  </si>
  <si>
    <t>SAN GIL</t>
  </si>
  <si>
    <t>SAN JOAQUIN</t>
  </si>
  <si>
    <t>SAN JOSE DE MIRANDA</t>
  </si>
  <si>
    <t>SAN VICENTE DE CHUCURI</t>
  </si>
  <si>
    <t>SANTA HELENA DEL OPON</t>
  </si>
  <si>
    <t>SIMACOTA</t>
  </si>
  <si>
    <t>SOCORRO</t>
  </si>
  <si>
    <t>SUAITA</t>
  </si>
  <si>
    <t>SURATA</t>
  </si>
  <si>
    <t>TONA</t>
  </si>
  <si>
    <t>VALLE DE SAN JOSE</t>
  </si>
  <si>
    <t>VELEZ</t>
  </si>
  <si>
    <t>VETAS</t>
  </si>
  <si>
    <t>ZAPATOCA</t>
  </si>
  <si>
    <t>SINCELEJO</t>
  </si>
  <si>
    <t>SAN PEDRO</t>
  </si>
  <si>
    <t>CAIMITO</t>
  </si>
  <si>
    <t>CHALAN</t>
  </si>
  <si>
    <t>COLOSO</t>
  </si>
  <si>
    <t>COROZAL</t>
  </si>
  <si>
    <t>COVEÑAS</t>
  </si>
  <si>
    <t>EL ROBLE</t>
  </si>
  <si>
    <t>GALERAS</t>
  </si>
  <si>
    <t>GUARANDA</t>
  </si>
  <si>
    <t>LOS PALMITOS</t>
  </si>
  <si>
    <t>MAJAGUAL</t>
  </si>
  <si>
    <t>MORROA</t>
  </si>
  <si>
    <t>OVEJAS</t>
  </si>
  <si>
    <t>PALMITO</t>
  </si>
  <si>
    <t>SAMPUES</t>
  </si>
  <si>
    <t>SAN BENITO ABAD</t>
  </si>
  <si>
    <t>SAN JUAN DE BETULIA</t>
  </si>
  <si>
    <t>SAN LUIS DE SINCE</t>
  </si>
  <si>
    <t>SAN MARCOS</t>
  </si>
  <si>
    <t>SAN ONOFRE</t>
  </si>
  <si>
    <t>SANTIAGO DE TOLU</t>
  </si>
  <si>
    <t>TOLU VIEJO</t>
  </si>
  <si>
    <t>ALPUJARRA</t>
  </si>
  <si>
    <t>ALVARADO</t>
  </si>
  <si>
    <t>AMBALEMA</t>
  </si>
  <si>
    <t>ANZOATEGUI</t>
  </si>
  <si>
    <t>ARMERO</t>
  </si>
  <si>
    <t>ATACO</t>
  </si>
  <si>
    <t>CAJAMARCA</t>
  </si>
  <si>
    <t>CARMEN DE APICALA</t>
  </si>
  <si>
    <t>CASABIANCA</t>
  </si>
  <si>
    <t>CHAPARRAL</t>
  </si>
  <si>
    <t>COELLO</t>
  </si>
  <si>
    <t>COYAIMA</t>
  </si>
  <si>
    <t>CUNDAY</t>
  </si>
  <si>
    <t>DOLORES</t>
  </si>
  <si>
    <t>ESPINAL</t>
  </si>
  <si>
    <t>FALAN</t>
  </si>
  <si>
    <t>FLANDES</t>
  </si>
  <si>
    <t>FRESNO</t>
  </si>
  <si>
    <t>GUAMO</t>
  </si>
  <si>
    <t>HERVEO</t>
  </si>
  <si>
    <t>HONDA</t>
  </si>
  <si>
    <t>ICONONZO</t>
  </si>
  <si>
    <t>LERIDA</t>
  </si>
  <si>
    <t>LIBANO</t>
  </si>
  <si>
    <t>MARIQUITA</t>
  </si>
  <si>
    <t>MELGAR</t>
  </si>
  <si>
    <t>MURILLO</t>
  </si>
  <si>
    <t>ORTEGA</t>
  </si>
  <si>
    <t>PALOCABILDO</t>
  </si>
  <si>
    <t>PIEDRAS</t>
  </si>
  <si>
    <t>PLANADAS</t>
  </si>
  <si>
    <t>PRADO</t>
  </si>
  <si>
    <t>PURIFICACION</t>
  </si>
  <si>
    <t>RIOBLANCO</t>
  </si>
  <si>
    <t>RONCESVALLES</t>
  </si>
  <si>
    <t>ROVIRA</t>
  </si>
  <si>
    <t>SAN ANTONIO</t>
  </si>
  <si>
    <t>SANTA ISABEL</t>
  </si>
  <si>
    <t>VALLE DE SAN JUAN</t>
  </si>
  <si>
    <t>VENADILLO</t>
  </si>
  <si>
    <t>VILLAHERMOSA</t>
  </si>
  <si>
    <t>VILLARRICA</t>
  </si>
  <si>
    <t>ALCALA</t>
  </si>
  <si>
    <t>ANDALUCIA</t>
  </si>
  <si>
    <t>ANSERMANUEVO</t>
  </si>
  <si>
    <t>BUGALAGRANDE</t>
  </si>
  <si>
    <t>CAICEDONIA</t>
  </si>
  <si>
    <t>CALIMA</t>
  </si>
  <si>
    <t>CARTAGO</t>
  </si>
  <si>
    <t>DAGUA</t>
  </si>
  <si>
    <t>EL AGUILA</t>
  </si>
  <si>
    <t>EL CAIRO</t>
  </si>
  <si>
    <t>EL CERRITO</t>
  </si>
  <si>
    <t>EL DOVIO</t>
  </si>
  <si>
    <t>FLORIDA</t>
  </si>
  <si>
    <t>GINEBRA</t>
  </si>
  <si>
    <t>GUACARI</t>
  </si>
  <si>
    <t>GUADALAJARA DE BUGA</t>
  </si>
  <si>
    <t>LA CUMBRE</t>
  </si>
  <si>
    <t>OBANDO</t>
  </si>
  <si>
    <t>PRADERA</t>
  </si>
  <si>
    <t>RIOFRIO</t>
  </si>
  <si>
    <t>ROLDANILLO</t>
  </si>
  <si>
    <t>SEVILLA</t>
  </si>
  <si>
    <t>TORO</t>
  </si>
  <si>
    <t>TRUJILLO</t>
  </si>
  <si>
    <t>ULLOA</t>
  </si>
  <si>
    <t>VERSALLES</t>
  </si>
  <si>
    <t>VIJES</t>
  </si>
  <si>
    <t>YOTOCO</t>
  </si>
  <si>
    <t>YUMBO</t>
  </si>
  <si>
    <t>ZARZAL</t>
  </si>
  <si>
    <t>CARURU</t>
  </si>
  <si>
    <t>VAUPES</t>
  </si>
  <si>
    <t>MITU</t>
  </si>
  <si>
    <t>PACOA</t>
  </si>
  <si>
    <t>PAPUNAUA</t>
  </si>
  <si>
    <t>TARAIRA</t>
  </si>
  <si>
    <t>YAVARATE</t>
  </si>
  <si>
    <t>CUMARIBO</t>
  </si>
  <si>
    <t>VICHADA</t>
  </si>
  <si>
    <t>LA PRIMAVERA</t>
  </si>
  <si>
    <t>PUERTO CARREÑO</t>
  </si>
  <si>
    <t>SANTA ROSALIA</t>
  </si>
  <si>
    <t>TUCHIN</t>
  </si>
  <si>
    <t>SAN JOSE DE URE</t>
  </si>
  <si>
    <t>CENTRO_COSTO</t>
  </si>
  <si>
    <t>DESCRIPCION</t>
  </si>
  <si>
    <t>Redeban Noroccidente (Medellín)</t>
  </si>
  <si>
    <t>Redeban Costa (Barranqullla)</t>
  </si>
  <si>
    <t>Redeban Centro ( Bogotá)</t>
  </si>
  <si>
    <t>Redeban Santander</t>
  </si>
  <si>
    <t>Redeban Suroccidente (Cali)</t>
  </si>
  <si>
    <t>Redeban Oriente (Otros)</t>
  </si>
  <si>
    <t>Redeban Eje Cafetero (Pereira)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</si>
</sst>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 #,##0;[Red]\-&quot;$&quot;\ #,##0"/>
    <numFmt numFmtId="164" formatCode="_(&quot;$&quot;\ * #,##0.00_);_(&quot;$&quot;\ * \(#,##0.00\);_(&quot;$&quot;\ * &quot;-&quot;??_);_(@_)"/>
    <numFmt numFmtId="165" formatCode="_-&quot;$&quot;* #,##0.00_-;\-&quot;$&quot;* #,##0.00_-;_-&quot;$&quot;* &quot;-&quot;??_-;_-@_-"/>
    <numFmt numFmtId="166" formatCode="_(&quot;$&quot;\ * #,##0_);_(&quot;$&quot;\ * \(#,##0\);_(&quot;$&quot;\ * &quot;-&quot;??_);_(@_)"/>
    <numFmt numFmtId="167" formatCode="&quot;$&quot;\ #,##0"/>
    <numFmt numFmtId="168" formatCode="_-&quot;$&quot;* #,##0_-;\-&quot;$&quot;* #,##0_-;_-&quot;$&quot;* &quot;-&quot;??_-;_-@_-"/>
    <numFmt numFmtId="169" formatCode="[$-240A]dddd\,\ dd&quot; de &quot;mmmm&quot; de &quot;yyyy"/>
  </numFmts>
  <fonts count="23">
    <font>
      <sz val="11"/>
      <color theme="1"/>
      <name val="Calibri"/>
      <family val="2"/>
      <scheme val="minor"/>
    </font>
    <font>
      <sz val="11"/>
      <color theme="1"/>
      <name val="Calibri"/>
      <family val="2"/>
      <scheme val="minor"/>
    </font>
    <font>
      <sz val="10"/>
      <color theme="1"/>
      <name val="Apex"/>
      <family val="2"/>
    </font>
    <font>
      <sz val="10"/>
      <name val="Arial"/>
      <family val="2"/>
    </font>
    <font>
      <b/>
      <sz val="9"/>
      <color indexed="81"/>
      <name val="Tahoma"/>
      <family val="2"/>
    </font>
    <font>
      <sz val="8"/>
      <color theme="1"/>
      <name val="Gelion Thin"/>
    </font>
    <font>
      <b/>
      <sz val="8"/>
      <name val="Gelion Thin"/>
    </font>
    <font>
      <b/>
      <sz val="10"/>
      <name val="Gelion Thin"/>
    </font>
    <font>
      <sz val="10"/>
      <color rgb="FF000000"/>
      <name val="Gelion Thin"/>
    </font>
    <font>
      <sz val="10"/>
      <color theme="1"/>
      <name val="Gelion Thin"/>
    </font>
    <font>
      <sz val="8"/>
      <color rgb="FF000000"/>
      <name val="Gelion Thin"/>
    </font>
    <font>
      <sz val="10"/>
      <name val="Gelion Thin"/>
    </font>
    <font>
      <sz val="8"/>
      <name val="Gelion Thin"/>
    </font>
    <font>
      <b/>
      <sz val="11"/>
      <color theme="1"/>
      <name val="Gelion Thin"/>
    </font>
    <font>
      <b/>
      <i/>
      <sz val="11"/>
      <color rgb="FFFFFFFF"/>
      <name val="Century Gothic"/>
      <family val="2"/>
    </font>
    <font>
      <sz val="10"/>
      <color rgb="FF000000"/>
      <name val="Century Gothic"/>
      <family val="2"/>
    </font>
    <font>
      <sz val="10"/>
      <color rgb="FF3A3838"/>
      <name val="Century Gothic"/>
      <family val="2"/>
    </font>
    <font>
      <sz val="11"/>
      <color rgb="FF000000"/>
      <name val="Gelion Thin"/>
    </font>
    <font>
      <sz val="8"/>
      <name val="Gelion Light"/>
    </font>
    <font>
      <b/>
      <sz val="9"/>
      <color rgb="FFC00000"/>
      <name val="Gelion Thin"/>
    </font>
    <font>
      <sz val="11"/>
      <color rgb="FFC00000"/>
      <name val="Calibri"/>
      <family val="2"/>
      <scheme val="minor"/>
    </font>
    <font>
      <b/>
      <sz val="10"/>
      <name val="Gelion Light"/>
    </font>
    <font>
      <sz val="10"/>
      <name val="Gelion Light"/>
    </font>
  </fonts>
  <fills count="11">
    <fill>
      <patternFill patternType="none"/>
    </fill>
    <fill>
      <patternFill patternType="gray125"/>
    </fill>
    <fill>
      <patternFill patternType="solid">
        <fgColor theme="0" tint="-0.34998626667073579"/>
        <bgColor indexed="64"/>
      </patternFill>
    </fill>
    <fill>
      <patternFill patternType="solid">
        <fgColor rgb="FF9B9B9A"/>
        <bgColor indexed="64"/>
      </patternFill>
    </fill>
    <fill>
      <patternFill patternType="solid">
        <fgColor rgb="FF305496"/>
        <bgColor rgb="FF000000"/>
      </patternFill>
    </fill>
    <fill>
      <patternFill patternType="solid">
        <fgColor rgb="FFACB9CA"/>
        <bgColor rgb="FF000000"/>
      </patternFill>
    </fill>
    <fill>
      <patternFill patternType="solid">
        <fgColor rgb="FF00B0F0"/>
        <bgColor rgb="FF000000"/>
      </patternFill>
    </fill>
    <fill>
      <patternFill patternType="solid">
        <fgColor rgb="FFFFFF00"/>
        <bgColor rgb="FF000000"/>
      </patternFill>
    </fill>
    <fill>
      <patternFill patternType="solid">
        <fgColor rgb="FF00B0F0"/>
        <bgColor indexed="64"/>
      </patternFill>
    </fill>
    <fill>
      <patternFill patternType="solid">
        <fgColor rgb="FF92D050"/>
        <bgColor indexed="64"/>
      </patternFill>
    </fill>
    <fill>
      <patternFill patternType="solid">
        <fgColor theme="6"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7">
    <xf numFmtId="0" fontId="0" fillId="0" borderId="0"/>
    <xf numFmtId="165" fontId="1" fillId="0" borderId="0" applyFont="0" applyFill="0" applyBorder="0" applyAlignment="0" applyProtection="0"/>
    <xf numFmtId="0" fontId="1" fillId="0" borderId="0"/>
    <xf numFmtId="0" fontId="2" fillId="0" borderId="0"/>
    <xf numFmtId="164" fontId="3" fillId="0" borderId="0" applyFont="0" applyFill="0" applyBorder="0" applyAlignment="0" applyProtection="0"/>
    <xf numFmtId="0" fontId="3" fillId="0" borderId="0"/>
    <xf numFmtId="0" fontId="1" fillId="0" borderId="0"/>
  </cellStyleXfs>
  <cellXfs count="97">
    <xf numFmtId="0" fontId="0" fillId="0" borderId="0" xfId="0"/>
    <xf numFmtId="164" fontId="7" fillId="2" borderId="1" xfId="4" applyFont="1" applyFill="1" applyBorder="1" applyAlignment="1">
      <alignment horizontal="center" vertical="center"/>
    </xf>
    <xf numFmtId="0" fontId="8" fillId="0" borderId="1" xfId="0" applyFont="1" applyBorder="1" applyAlignment="1">
      <alignment vertical="center"/>
    </xf>
    <xf numFmtId="6" fontId="9" fillId="0" borderId="1" xfId="0" applyNumberFormat="1" applyFont="1" applyBorder="1" applyAlignment="1">
      <alignment vertical="center" wrapText="1"/>
    </xf>
    <xf numFmtId="0" fontId="10" fillId="0" borderId="2" xfId="0" applyFont="1" applyBorder="1" applyAlignment="1">
      <alignment vertical="center"/>
    </xf>
    <xf numFmtId="0" fontId="10" fillId="0" borderId="0" xfId="0" applyFont="1" applyAlignment="1">
      <alignment vertical="center"/>
    </xf>
    <xf numFmtId="166" fontId="5" fillId="0" borderId="0" xfId="4" applyNumberFormat="1" applyFont="1" applyAlignment="1">
      <alignment horizontal="center" vertical="center"/>
    </xf>
    <xf numFmtId="0" fontId="10" fillId="0" borderId="1" xfId="0" applyFont="1" applyBorder="1" applyAlignment="1">
      <alignment vertical="center"/>
    </xf>
    <xf numFmtId="0" fontId="5" fillId="0" borderId="0" xfId="0" applyFont="1"/>
    <xf numFmtId="0" fontId="7" fillId="0" borderId="1" xfId="0" applyFont="1" applyBorder="1" applyAlignment="1">
      <alignment horizontal="center"/>
    </xf>
    <xf numFmtId="0" fontId="11" fillId="0" borderId="1" xfId="0" applyFont="1" applyBorder="1"/>
    <xf numFmtId="167" fontId="11" fillId="0" borderId="1" xfId="0" applyNumberFormat="1" applyFont="1" applyBorder="1"/>
    <xf numFmtId="166" fontId="7" fillId="0" borderId="1" xfId="1" applyNumberFormat="1" applyFont="1" applyBorder="1"/>
    <xf numFmtId="0" fontId="5" fillId="0" borderId="1" xfId="5" applyFont="1" applyBorder="1" applyProtection="1">
      <protection locked="0"/>
    </xf>
    <xf numFmtId="0" fontId="5" fillId="0" borderId="1" xfId="5" applyFont="1" applyBorder="1"/>
    <xf numFmtId="166" fontId="5" fillId="0" borderId="1" xfId="4" applyNumberFormat="1" applyFont="1" applyBorder="1" applyAlignment="1">
      <alignment vertical="center"/>
    </xf>
    <xf numFmtId="166" fontId="5" fillId="0" borderId="1" xfId="5" applyNumberFormat="1" applyFont="1" applyBorder="1" applyAlignment="1">
      <alignment vertical="center"/>
    </xf>
    <xf numFmtId="0" fontId="13" fillId="0" borderId="1" xfId="0" applyFont="1" applyBorder="1"/>
    <xf numFmtId="0" fontId="7" fillId="3" borderId="1" xfId="0" applyFont="1" applyFill="1" applyBorder="1"/>
    <xf numFmtId="0" fontId="6" fillId="3" borderId="1" xfId="5" applyFont="1" applyFill="1" applyBorder="1" applyAlignment="1">
      <alignment horizontal="center"/>
    </xf>
    <xf numFmtId="167" fontId="6" fillId="3" borderId="1" xfId="5" applyNumberFormat="1" applyFont="1" applyFill="1" applyBorder="1" applyAlignment="1">
      <alignment horizontal="center" vertical="center"/>
    </xf>
    <xf numFmtId="166" fontId="7" fillId="3" borderId="1" xfId="1" applyNumberFormat="1" applyFont="1" applyFill="1" applyBorder="1"/>
    <xf numFmtId="0" fontId="13" fillId="0" borderId="1" xfId="6" applyFont="1" applyBorder="1"/>
    <xf numFmtId="0" fontId="12" fillId="0" borderId="7" xfId="5" applyFont="1" applyBorder="1"/>
    <xf numFmtId="0" fontId="6" fillId="3" borderId="8" xfId="5" applyFont="1" applyFill="1" applyBorder="1" applyAlignment="1">
      <alignment horizontal="center"/>
    </xf>
    <xf numFmtId="167" fontId="6" fillId="3" borderId="9" xfId="5" applyNumberFormat="1" applyFont="1" applyFill="1" applyBorder="1" applyAlignment="1">
      <alignment horizontal="center" vertical="center"/>
    </xf>
    <xf numFmtId="0" fontId="14" fillId="4" borderId="1" xfId="0" applyFont="1" applyFill="1" applyBorder="1" applyAlignment="1">
      <alignment wrapText="1"/>
    </xf>
    <xf numFmtId="0" fontId="14" fillId="4" borderId="4" xfId="0" applyFont="1" applyFill="1" applyBorder="1" applyAlignment="1">
      <alignment wrapText="1"/>
    </xf>
    <xf numFmtId="0" fontId="14" fillId="5" borderId="4" xfId="0" applyFont="1" applyFill="1" applyBorder="1" applyAlignment="1">
      <alignment wrapText="1"/>
    </xf>
    <xf numFmtId="0" fontId="15" fillId="0" borderId="5" xfId="0" applyFont="1" applyBorder="1"/>
    <xf numFmtId="0" fontId="15" fillId="6" borderId="13" xfId="0" applyFont="1" applyFill="1" applyBorder="1"/>
    <xf numFmtId="0" fontId="15" fillId="0" borderId="13" xfId="0" applyFont="1" applyBorder="1"/>
    <xf numFmtId="0" fontId="16" fillId="0" borderId="13" xfId="0" applyFont="1" applyBorder="1"/>
    <xf numFmtId="0" fontId="15" fillId="7" borderId="13" xfId="0" applyFont="1" applyFill="1" applyBorder="1"/>
    <xf numFmtId="0" fontId="17" fillId="0" borderId="1" xfId="0" applyFont="1" applyBorder="1"/>
    <xf numFmtId="0" fontId="17" fillId="0" borderId="4" xfId="0" applyFont="1" applyBorder="1"/>
    <xf numFmtId="0" fontId="17" fillId="0" borderId="5" xfId="0" applyFont="1" applyBorder="1"/>
    <xf numFmtId="0" fontId="17" fillId="0" borderId="13" xfId="0" applyFont="1" applyBorder="1"/>
    <xf numFmtId="0" fontId="0" fillId="0" borderId="0" xfId="0" pivotButton="1"/>
    <xf numFmtId="0" fontId="0" fillId="0" borderId="0" xfId="0" applyAlignment="1">
      <alignment horizontal="center"/>
    </xf>
    <xf numFmtId="10" fontId="0" fillId="0" borderId="0" xfId="0" applyNumberFormat="1" applyAlignment="1">
      <alignment horizontal="center"/>
    </xf>
    <xf numFmtId="168" fontId="0" fillId="0" borderId="0" xfId="0" applyNumberFormat="1"/>
    <xf numFmtId="6" fontId="0" fillId="0" borderId="0" xfId="0" applyNumberFormat="1"/>
    <xf numFmtId="10" fontId="0" fillId="9" borderId="7" xfId="0" applyNumberFormat="1" applyFill="1" applyBorder="1" applyAlignment="1">
      <alignment horizontal="center"/>
    </xf>
    <xf numFmtId="164" fontId="7" fillId="2" borderId="3" xfId="4" applyFont="1" applyFill="1" applyBorder="1" applyAlignment="1">
      <alignment horizontal="center" vertical="center"/>
    </xf>
    <xf numFmtId="164" fontId="7" fillId="2" borderId="8" xfId="4" applyFont="1" applyFill="1" applyBorder="1" applyAlignment="1">
      <alignment horizontal="center" vertical="center"/>
    </xf>
    <xf numFmtId="167" fontId="11" fillId="0" borderId="5" xfId="0" applyNumberFormat="1" applyFont="1" applyBorder="1"/>
    <xf numFmtId="6" fontId="9" fillId="10" borderId="1" xfId="0" applyNumberFormat="1" applyFont="1" applyFill="1" applyBorder="1" applyAlignment="1">
      <alignment horizontal="center"/>
    </xf>
    <xf numFmtId="166" fontId="5" fillId="10" borderId="1" xfId="4" applyNumberFormat="1" applyFont="1" applyFill="1" applyBorder="1" applyAlignment="1">
      <alignment horizontal="center" vertical="center"/>
    </xf>
    <xf numFmtId="0" fontId="18" fillId="0" borderId="7" xfId="0" applyFont="1" applyBorder="1" applyAlignment="1">
      <alignment horizontal="center"/>
    </xf>
    <xf numFmtId="166" fontId="5" fillId="0" borderId="7" xfId="4" applyNumberFormat="1" applyFont="1" applyBorder="1" applyAlignment="1">
      <alignment vertical="center"/>
    </xf>
    <xf numFmtId="166" fontId="5" fillId="0" borderId="7" xfId="5" applyNumberFormat="1" applyFont="1" applyBorder="1" applyAlignment="1">
      <alignment vertical="center"/>
    </xf>
    <xf numFmtId="0" fontId="5" fillId="0" borderId="7" xfId="5" applyFont="1" applyBorder="1" applyAlignment="1" applyProtection="1">
      <alignment horizontal="center" vertical="center"/>
      <protection locked="0"/>
    </xf>
    <xf numFmtId="0" fontId="18" fillId="0" borderId="10" xfId="0" applyFont="1" applyBorder="1" applyAlignment="1">
      <alignment horizontal="center"/>
    </xf>
    <xf numFmtId="166" fontId="5" fillId="0" borderId="8" xfId="4" applyNumberFormat="1" applyFont="1" applyBorder="1" applyAlignment="1">
      <alignment vertical="center"/>
    </xf>
    <xf numFmtId="166" fontId="5" fillId="0" borderId="8" xfId="5" applyNumberFormat="1" applyFont="1" applyBorder="1" applyAlignment="1">
      <alignment vertical="center"/>
    </xf>
    <xf numFmtId="167" fontId="6" fillId="3" borderId="13" xfId="5" applyNumberFormat="1" applyFont="1" applyFill="1" applyBorder="1" applyAlignment="1">
      <alignment horizontal="center" vertical="center"/>
    </xf>
    <xf numFmtId="167" fontId="6" fillId="3" borderId="5" xfId="5" applyNumberFormat="1" applyFont="1" applyFill="1" applyBorder="1" applyAlignment="1">
      <alignment horizontal="center" vertical="center"/>
    </xf>
    <xf numFmtId="0" fontId="11" fillId="0" borderId="8" xfId="0" applyFont="1" applyBorder="1"/>
    <xf numFmtId="167" fontId="11" fillId="0" borderId="8" xfId="0" applyNumberFormat="1" applyFont="1" applyBorder="1"/>
    <xf numFmtId="168" fontId="19" fillId="0" borderId="5" xfId="0" applyNumberFormat="1" applyFont="1" applyBorder="1" applyAlignment="1">
      <alignment horizontal="center"/>
    </xf>
    <xf numFmtId="0" fontId="20" fillId="0" borderId="0" xfId="0" applyFont="1"/>
    <xf numFmtId="168" fontId="21" fillId="8" borderId="8" xfId="1" applyNumberFormat="1" applyFont="1" applyFill="1" applyBorder="1" applyAlignment="1" applyProtection="1">
      <alignment horizontal="left" vertical="center"/>
      <protection locked="0"/>
    </xf>
    <xf numFmtId="0" fontId="22" fillId="0" borderId="1" xfId="0" applyFont="1" applyBorder="1"/>
    <xf numFmtId="0" fontId="22" fillId="0" borderId="0" xfId="0" applyFont="1"/>
    <xf numFmtId="0" fontId="20" fillId="0" borderId="0" xfId="0" applyFont="1" applyAlignment="1">
      <alignment horizontal="center" vertical="center"/>
    </xf>
    <xf numFmtId="0" fontId="21" fillId="0" borderId="0" xfId="0" applyFont="1" applyAlignment="1">
      <alignment vertical="center"/>
    </xf>
    <xf numFmtId="0" fontId="21" fillId="8" borderId="8" xfId="0" applyFont="1" applyFill="1" applyBorder="1" applyAlignment="1">
      <alignment horizontal="center" vertical="center" wrapText="1"/>
    </xf>
    <xf numFmtId="0" fontId="21" fillId="8" borderId="8" xfId="0" applyFont="1" applyFill="1" applyBorder="1" applyAlignment="1" applyProtection="1">
      <alignment horizontal="center" vertical="center" wrapText="1"/>
      <protection locked="0"/>
    </xf>
    <xf numFmtId="168" fontId="21" fillId="8" borderId="8" xfId="1" applyNumberFormat="1" applyFont="1" applyFill="1" applyBorder="1" applyAlignment="1">
      <alignment horizontal="center" vertical="center" wrapText="1"/>
    </xf>
    <xf numFmtId="169" fontId="21" fillId="8" borderId="8" xfId="0" applyNumberFormat="1" applyFont="1" applyFill="1" applyBorder="1" applyAlignment="1">
      <alignment horizontal="center" vertical="center" wrapText="1"/>
    </xf>
    <xf numFmtId="169" fontId="21" fillId="8" borderId="8" xfId="0" applyNumberFormat="1" applyFont="1" applyFill="1" applyBorder="1" applyAlignment="1" applyProtection="1">
      <alignment horizontal="center" vertical="center" wrapText="1"/>
      <protection locked="0"/>
    </xf>
    <xf numFmtId="0" fontId="22" fillId="0" borderId="1" xfId="0" applyFont="1" applyBorder="1" applyAlignment="1">
      <alignment horizontal="left"/>
    </xf>
    <xf numFmtId="22" fontId="22" fillId="0" borderId="1" xfId="0" applyNumberFormat="1" applyFont="1" applyBorder="1" applyAlignment="1">
      <alignment horizontal="left"/>
    </xf>
    <xf numFmtId="0" fontId="22" fillId="0" borderId="1" xfId="0" applyFont="1" applyBorder="1" applyAlignment="1">
      <alignment horizontal="left" vertical="center"/>
    </xf>
    <xf numFmtId="49" fontId="22" fillId="0" borderId="1" xfId="0" applyNumberFormat="1" applyFont="1" applyBorder="1" applyAlignment="1">
      <alignment horizontal="left"/>
    </xf>
    <xf numFmtId="0" fontId="22" fillId="0" borderId="1" xfId="0" applyFont="1" applyBorder="1" applyAlignment="1">
      <alignment horizontal="center" vertical="center"/>
    </xf>
    <xf numFmtId="168" fontId="22" fillId="0" borderId="1" xfId="0" applyNumberFormat="1" applyFont="1" applyBorder="1" applyAlignment="1">
      <alignment horizontal="center" vertical="center"/>
    </xf>
    <xf numFmtId="0" fontId="7" fillId="3" borderId="3" xfId="5" applyFont="1" applyFill="1" applyBorder="1" applyAlignment="1">
      <alignment horizontal="center"/>
    </xf>
    <xf numFmtId="0" fontId="7" fillId="3" borderId="6" xfId="5" applyFont="1" applyFill="1" applyBorder="1" applyAlignment="1">
      <alignment horizontal="center"/>
    </xf>
    <xf numFmtId="0" fontId="7" fillId="3" borderId="4" xfId="5" applyFont="1" applyFill="1" applyBorder="1" applyAlignment="1">
      <alignment horizontal="center"/>
    </xf>
    <xf numFmtId="17" fontId="7" fillId="3" borderId="3" xfId="5" applyNumberFormat="1" applyFont="1" applyFill="1" applyBorder="1" applyAlignment="1" applyProtection="1">
      <alignment horizontal="center"/>
      <protection locked="0"/>
    </xf>
    <xf numFmtId="17" fontId="7" fillId="3" borderId="6" xfId="5" applyNumberFormat="1" applyFont="1" applyFill="1" applyBorder="1" applyAlignment="1" applyProtection="1">
      <alignment horizontal="center"/>
      <protection locked="0"/>
    </xf>
    <xf numFmtId="17" fontId="7" fillId="3" borderId="4" xfId="5" applyNumberFormat="1" applyFont="1" applyFill="1" applyBorder="1" applyAlignment="1" applyProtection="1">
      <alignment horizontal="center"/>
      <protection locked="0"/>
    </xf>
    <xf numFmtId="1" fontId="11" fillId="0" borderId="1" xfId="1" applyNumberFormat="1" applyFont="1" applyBorder="1" applyAlignment="1">
      <alignment horizontal="center"/>
    </xf>
    <xf numFmtId="0" fontId="7" fillId="3" borderId="1" xfId="0" applyFont="1" applyFill="1" applyBorder="1" applyAlignment="1">
      <alignment horizontal="center"/>
    </xf>
    <xf numFmtId="49" fontId="7" fillId="3" borderId="1" xfId="0" applyNumberFormat="1" applyFont="1" applyFill="1" applyBorder="1" applyAlignment="1">
      <alignment horizontal="center"/>
    </xf>
    <xf numFmtId="0" fontId="7" fillId="0" borderId="1" xfId="0" applyFont="1" applyBorder="1" applyAlignment="1">
      <alignment horizontal="center"/>
    </xf>
    <xf numFmtId="0" fontId="7" fillId="3" borderId="3" xfId="0" applyFont="1" applyFill="1" applyBorder="1" applyAlignment="1">
      <alignment horizontal="center"/>
    </xf>
    <xf numFmtId="0" fontId="7" fillId="3" borderId="6" xfId="0" applyFont="1" applyFill="1" applyBorder="1" applyAlignment="1">
      <alignment horizontal="center"/>
    </xf>
    <xf numFmtId="0" fontId="7" fillId="3" borderId="4" xfId="0" applyFont="1" applyFill="1" applyBorder="1" applyAlignment="1">
      <alignment horizontal="center"/>
    </xf>
    <xf numFmtId="0" fontId="7" fillId="0" borderId="5"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1" fontId="11" fillId="0" borderId="11" xfId="1" applyNumberFormat="1" applyFont="1" applyBorder="1" applyAlignment="1">
      <alignment horizontal="center"/>
    </xf>
    <xf numFmtId="1" fontId="11" fillId="0" borderId="12" xfId="1" applyNumberFormat="1" applyFont="1" applyBorder="1" applyAlignment="1">
      <alignment horizontal="center"/>
    </xf>
    <xf numFmtId="0" fontId="7" fillId="2" borderId="0" xfId="0" applyFont="1" applyFill="1" applyAlignment="1">
      <alignment horizontal="center"/>
    </xf>
  </cellXfs>
  <cellStyles count="7">
    <cellStyle name="Moneda" xfId="1" builtinId="4"/>
    <cellStyle name="Moneda 2 10" xfId="4" xr:uid="{00000000-0005-0000-0000-000001000000}"/>
    <cellStyle name="Normal" xfId="0" builtinId="0"/>
    <cellStyle name="Normal 172" xfId="3" xr:uid="{00000000-0005-0000-0000-000003000000}"/>
    <cellStyle name="Normal 177" xfId="6" xr:uid="{0A95A77B-9D49-42E9-8927-52D2AFB01FA1}"/>
    <cellStyle name="Normal 2 10 2" xfId="5" xr:uid="{00000000-0005-0000-0000-000004000000}"/>
    <cellStyle name="Normal 2 2 2 2 6 2" xfId="2" xr:uid="{00000000-0005-0000-0000-000005000000}"/>
  </cellStyles>
  <dxfs count="4">
    <dxf>
      <font>
        <color rgb="FF9C0006"/>
      </font>
      <fill>
        <patternFill>
          <bgColor rgb="FFFFC7CE"/>
        </patternFill>
      </fill>
    </dxf>
    <dxf>
      <alignment horizontal="center"/>
    </dxf>
    <dxf>
      <alignment horizontal="center"/>
    </dxf>
    <dxf>
      <numFmt numFmtId="168" formatCode="_-&quot;$&quot;* #,##0_-;\-&quot;$&quot;* #,##0_-;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pivotCacheDefinition" Target="pivotCache/pivotCacheDefinition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4.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13</xdr:col>
      <xdr:colOff>752475</xdr:colOff>
      <xdr:row>0</xdr:row>
      <xdr:rowOff>0</xdr:rowOff>
    </xdr:from>
    <xdr:to>
      <xdr:col>13</xdr:col>
      <xdr:colOff>754380</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55CCF4B3-253F-479B-87D6-7D92DD202B28}"/>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pic>
      <xdr:nvPicPr>
        <xdr:cNvPr id="4" name="Picture 3">
          <a:extLst>
            <a:ext uri="{FF2B5EF4-FFF2-40B4-BE49-F238E27FC236}">
              <a16:creationId xmlns:a16="http://schemas.microsoft.com/office/drawing/2014/main" id="{39674A97-53B7-4AA9-B4CF-8D52833B83B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5" name="Picture 4">
          <a:extLst>
            <a:ext uri="{FF2B5EF4-FFF2-40B4-BE49-F238E27FC236}">
              <a16:creationId xmlns:a16="http://schemas.microsoft.com/office/drawing/2014/main" id="{00943430-7326-4322-954C-BBA0F29393C7}"/>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6" name="ComboBox1">
          <a:extLst>
            <a:ext uri="{FF2B5EF4-FFF2-40B4-BE49-F238E27FC236}">
              <a16:creationId xmlns:a16="http://schemas.microsoft.com/office/drawing/2014/main" id="{5EE9C55E-5702-4BEC-BCB8-CD5064E8C4E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D76E7B39-2056-45C4-891A-F622CBBF22F0}"/>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8" name="ComboBox1" hidden="1">
          <a:extLst>
            <a:ext uri="{63B3BB69-23CF-44E3-9099-C40C66FF867C}">
              <a14:compatExt xmlns:a14="http://schemas.microsoft.com/office/drawing/2010/main" spid="_x0000_s1028"/>
            </a:ext>
            <a:ext uri="{FF2B5EF4-FFF2-40B4-BE49-F238E27FC236}">
              <a16:creationId xmlns:a16="http://schemas.microsoft.com/office/drawing/2014/main" id="{117D3C09-ECC0-45CD-850D-82F09C814FC2}"/>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23098184-A18A-44D5-B9D3-BD6B4CD528E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0" name="ComboBox1" hidden="1">
          <a:extLst>
            <a:ext uri="{63B3BB69-23CF-44E3-9099-C40C66FF867C}">
              <a14:compatExt xmlns:a14="http://schemas.microsoft.com/office/drawing/2010/main" spid="_x0000_s1028"/>
            </a:ext>
            <a:ext uri="{FF2B5EF4-FFF2-40B4-BE49-F238E27FC236}">
              <a16:creationId xmlns:a16="http://schemas.microsoft.com/office/drawing/2014/main" id="{76ABE6AF-11A4-4CDC-88DB-03B68E76E4E6}"/>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A6170E98-F50B-4860-B0FF-8A1F35E6A4C6}"/>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F7667E46-FD47-4BBF-A362-668465AB29E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11</xdr:col>
      <xdr:colOff>0</xdr:colOff>
      <xdr:row>0</xdr:row>
      <xdr:rowOff>0</xdr:rowOff>
    </xdr:from>
    <xdr:to>
      <xdr:col>11</xdr:col>
      <xdr:colOff>20955</xdr:colOff>
      <xdr:row>0</xdr:row>
      <xdr:rowOff>76200</xdr:rowOff>
    </xdr:to>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8CA529D1-EE55-4F38-B481-CA553B81B782}"/>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20955</xdr:colOff>
      <xdr:row>0</xdr:row>
      <xdr:rowOff>76200</xdr:rowOff>
    </xdr:to>
    <xdr:pic>
      <xdr:nvPicPr>
        <xdr:cNvPr id="14" name="Picture 3">
          <a:extLst>
            <a:ext uri="{FF2B5EF4-FFF2-40B4-BE49-F238E27FC236}">
              <a16:creationId xmlns:a16="http://schemas.microsoft.com/office/drawing/2014/main" id="{B964519B-D46F-4727-ACAD-66D43D149DB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15" name="Picture 4">
          <a:extLst>
            <a:ext uri="{FF2B5EF4-FFF2-40B4-BE49-F238E27FC236}">
              <a16:creationId xmlns:a16="http://schemas.microsoft.com/office/drawing/2014/main" id="{8C05851D-E6F3-47F8-ABE6-25660E74C05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16" name="ComboBox1">
          <a:extLst>
            <a:ext uri="{FF2B5EF4-FFF2-40B4-BE49-F238E27FC236}">
              <a16:creationId xmlns:a16="http://schemas.microsoft.com/office/drawing/2014/main" id="{B6B8717B-C2F2-469E-A3F8-7F31A986749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077E73C0-F778-483E-AEC0-73FBBBCDAAF5}"/>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754380</xdr:colOff>
      <xdr:row>0</xdr:row>
      <xdr:rowOff>76200</xdr:rowOff>
    </xdr:to>
    <xdr:sp macro="" textlink="">
      <xdr:nvSpPr>
        <xdr:cNvPr id="19" name="ComboBox1" hidden="1">
          <a:extLst>
            <a:ext uri="{63B3BB69-23CF-44E3-9099-C40C66FF867C}">
              <a14:compatExt xmlns:a14="http://schemas.microsoft.com/office/drawing/2010/main" spid="_x0000_s1028"/>
            </a:ext>
            <a:ext uri="{FF2B5EF4-FFF2-40B4-BE49-F238E27FC236}">
              <a16:creationId xmlns:a16="http://schemas.microsoft.com/office/drawing/2014/main" id="{F728C50A-E37D-4E6D-9A29-283B91A68DB1}"/>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754380</xdr:colOff>
      <xdr:row>0</xdr:row>
      <xdr:rowOff>76200</xdr:rowOff>
    </xdr:to>
    <xdr:pic>
      <xdr:nvPicPr>
        <xdr:cNvPr id="20" name="Picture 3">
          <a:extLst>
            <a:ext uri="{FF2B5EF4-FFF2-40B4-BE49-F238E27FC236}">
              <a16:creationId xmlns:a16="http://schemas.microsoft.com/office/drawing/2014/main" id="{56B3192C-6999-4560-9E73-7D7D170E6C6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pic>
      <xdr:nvPicPr>
        <xdr:cNvPr id="21" name="Picture 4">
          <a:extLst>
            <a:ext uri="{FF2B5EF4-FFF2-40B4-BE49-F238E27FC236}">
              <a16:creationId xmlns:a16="http://schemas.microsoft.com/office/drawing/2014/main" id="{65F538B9-F36C-4212-9119-F91BB51E01B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pic>
      <xdr:nvPicPr>
        <xdr:cNvPr id="22" name="ComboBox1">
          <a:extLst>
            <a:ext uri="{FF2B5EF4-FFF2-40B4-BE49-F238E27FC236}">
              <a16:creationId xmlns:a16="http://schemas.microsoft.com/office/drawing/2014/main" id="{2B53B498-1DE5-4B6A-A4D7-4F5F99BA5C55}"/>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sp macro="" textlink="">
      <xdr:nvSpPr>
        <xdr:cNvPr id="23" name="ComboBox1" hidden="1">
          <a:extLst>
            <a:ext uri="{63B3BB69-23CF-44E3-9099-C40C66FF867C}">
              <a14:compatExt xmlns:a14="http://schemas.microsoft.com/office/drawing/2010/main" spid="_x0000_s1028"/>
            </a:ext>
            <a:ext uri="{FF2B5EF4-FFF2-40B4-BE49-F238E27FC236}">
              <a16:creationId xmlns:a16="http://schemas.microsoft.com/office/drawing/2014/main" id="{2859CE56-129B-465C-869F-76303385D5B7}"/>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03.917523148149" createdVersion="8" refreshedVersion="8" minRefreshableVersion="3" recordCount="107" xr:uid="{47C888AB-724F-43CB-9535-8CFDEF0BAE70}">
  <cacheSource type="worksheet">
    <worksheetSource ref="A1:AD1048576" sheet="CIERRES"/>
  </cacheSource>
  <cacheFields count="30">
    <cacheField name="CIUDAD SEDE" numFmtId="0">
      <sharedItems containsBlank="1"/>
    </cacheField>
    <cacheField name="COORDINADOR" numFmtId="0">
      <sharedItems containsBlank="1" count="8">
        <s v="JUAN SEBASTIÁN RÍOS CASTRILLÓN"/>
        <s v="DIEGO FERNANDO HENAO CARDONA"/>
        <s v="KEVIN ALEXIS CORZO BUSTOS"/>
        <s v="WILLIAM ASDRUBAL ROZO ROZO"/>
        <s v="MIGUEL JULIÁN HERNÁNDEZ GUARÍN"/>
        <s v="JOSE MAURICIO HERNANDEZ ROJAS"/>
        <m/>
        <e v="#N/A" u="1"/>
      </sharedItems>
    </cacheField>
    <cacheField name="CENTRO DE COSTOS LÍNEACOM" numFmtId="0">
      <sharedItems containsBlank="1" count="8">
        <s v="0004-0005"/>
        <s v="0004-0003"/>
        <s v="0004-0007"/>
        <s v="0004-0004"/>
        <s v="0004-0008"/>
        <s v="0004-0001"/>
        <s v="0004-0002"/>
        <m/>
      </sharedItems>
    </cacheField>
    <cacheField name="CÓDIGO DANE" numFmtId="0">
      <sharedItems containsString="0" containsBlank="1" containsNumber="1" containsInteger="1" minValue="5001" maxValue="86749"/>
    </cacheField>
    <cacheField name="TA/CODIGO ACTIVIDAD" numFmtId="0">
      <sharedItems containsBlank="1"/>
    </cacheField>
    <cacheField name="CODIGO CB" numFmtId="0">
      <sharedItems containsString="0" containsBlank="1" containsNumber="1" containsInteger="1" minValue="10782" maxValue="79630"/>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07-29T08:00:00" maxDate="2025-08-28T16:50:00"/>
    </cacheField>
    <cacheField name="FECHA DEL CIERRE DEL TICKET (DD/MM/AAAA)" numFmtId="0">
      <sharedItems containsNonDate="0" containsDate="1" containsString="0" containsBlank="1" minDate="2025-08-01T09:33:00" maxDate="2025-08-30T16:48:00"/>
    </cacheField>
    <cacheField name="ACOMETIDA" numFmtId="0">
      <sharedItems containsNonDate="0" containsString="0" containsBlank="1"/>
    </cacheField>
    <cacheField name="SOLICITUD" numFmtId="0">
      <sharedItems containsBlank="1"/>
    </cacheField>
    <cacheField name="DESCRIPCIÓ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TERMINAL " numFmtId="0">
      <sharedItems containsBlank="1" containsMixedTypes="1" containsNumber="1" containsInteger="1" minValue="0" maxValue="11115906"/>
    </cacheField>
    <cacheField name="TIPIFICACION" numFmtId="0">
      <sharedItems containsBlank="1"/>
    </cacheField>
    <cacheField name="TIPO DE TRAYECTO" numFmtId="0">
      <sharedItems containsBlank="1"/>
    </cacheField>
    <cacheField name="NOMBRE DEL TECNICO " numFmtId="0">
      <sharedItems containsBlank="1" containsMixedTypes="1" containsNumber="1" containsInteger="1" minValue="0" maxValue="0"/>
    </cacheField>
    <cacheField name="DIAS DE VISITA" numFmtId="0">
      <sharedItems containsString="0" containsBlank="1" containsNumber="1" containsInteger="1" minValue="0" maxValue="2"/>
    </cacheField>
    <cacheField name="VALOR ACTIVIDAD" numFmtId="0">
      <sharedItems containsString="0" containsBlank="1" containsNumber="1" minValue="0" maxValue="464809.36800000002"/>
    </cacheField>
    <cacheField name="VALOR TOTAL" numFmtId="0">
      <sharedItems containsString="0" containsBlank="1" containsNumber="1" minValue="0" maxValue="11052804.33599999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
  <r>
    <s v="APARTADO"/>
    <x v="0"/>
    <x v="0"/>
    <n v="27615"/>
    <s v="TA-25-899476"/>
    <n v="58825"/>
    <s v="ORDEN DE CAMBIO"/>
    <s v="CHOCO"/>
    <s v="RIOSUCIO"/>
    <s v="DISTRICOL MAYORISTA LA BODEGA"/>
    <s v="REDEBAN"/>
    <s v="FO-25-1297516"/>
    <d v="2025-07-29T08:00:00"/>
    <d v="2025-08-01T09:33:00"/>
    <m/>
    <s v="CIERRE"/>
    <s v="CIERRE"/>
    <s v="AGREGADOR"/>
    <s v="DISTRICOL"/>
    <s v="NO_EXITOSO"/>
    <s v="CB NO ENTREGA EQUIPO"/>
    <s v="0_x000a_ 0_x000a_ 01-08-2025 SE LLAMA AL CLIENTE PARA AVISAR QUE VAMOS HACER LA VISITA Y NOS INFORMA QUE EN LA VEREDA A LLOVIDO MUCHO Y QUE ESTA DIFICIL EL ACCESO HASTA EL CASERIO DE IGUAL FORMA NOS MANIFESTO QUE EL NO A SOLICITADO EL CIERRE Y QUE NO SE ENCUENTRA EN LA VDA. SE LE INFORMA QUE SE COMUNIQUE AL BANCO._x000a_EL USUARIO NO ENTREGARA EQUIPOS HASTA QUE EL HABLE CON EL BANCO PARA ACLARAR EL PORQUE LE ESTAN CERRANDO EL CB"/>
    <s v="SOPORTE_TELEFÓNICO"/>
    <n v="0"/>
    <s v="TIPO IV ESPECIAL"/>
    <s v="TERRESTRE/FLUVIAL"/>
    <s v="SALDARRIAGA MIRANDA SANTIAGO"/>
    <n v="0"/>
    <n v="37904.612000000001"/>
    <n v="37904.612000000001"/>
  </r>
  <r>
    <s v="CALI"/>
    <x v="1"/>
    <x v="1"/>
    <n v="76001"/>
    <s v="TA-25-906330"/>
    <n v="69764"/>
    <s v="ORDEN DE CAMBIO"/>
    <s v="VALLE DEL CAUCA"/>
    <s v="CALI"/>
    <s v="BARRIO ALCAZAREZ CALI"/>
    <s v="REDEBAN"/>
    <s v="FO-25-1308290"/>
    <d v="2025-07-30T15:59:00"/>
    <d v="2025-08-01T09:57:00"/>
    <m/>
    <s v="CIERRE"/>
    <s v="CIERRE"/>
    <s v="CB UNO A UNO"/>
    <s v="CB UNO A UNO"/>
    <s v="NO_EXITOSO"/>
    <s v="CB NO ENTREGA EQUIPO"/>
    <s v="0_x000a_ 0_x000a_ 01-08-2025 SE LLEGA AL COMERCIO SE HABLA CON EL CLIENTE E INDICA QUE EL NO A SOLICITADO EL CIERRE Y QUE NO SE LE A NOTIFICADO QUE VA HABLAR CON EL BANCO PARA VALIDAR "/>
    <s v="VISITA_TÉCNICA"/>
    <s v="NN000790"/>
    <s v="TIPO I"/>
    <s v="TERRESTRE"/>
    <s v="CUERO RUIZ JHONNY"/>
    <n v="1"/>
    <n v="44559.563999999998"/>
    <n v="44559.563999999998"/>
  </r>
  <r>
    <s v="VILLAVICENCIO"/>
    <x v="2"/>
    <x v="2"/>
    <n v="50568"/>
    <s v="TA-25-903370"/>
    <n v="72483"/>
    <s v="ORDEN DE CAMBIO"/>
    <s v="META"/>
    <s v="PUERTO GAITAN"/>
    <s v="BARRIO PUERTO GAITAN BATEAS"/>
    <s v="REDEBAN"/>
    <s v="FO-25-1303399"/>
    <d v="2025-07-30T08:00:00"/>
    <d v="2025-08-01T10:01:00"/>
    <m/>
    <s v="CIERRE"/>
    <s v="RECUPERACION DE EQUIPOS"/>
    <s v="CB UNO A UNO"/>
    <s v="CB UNO A UNO"/>
    <s v="ILOCALIZADO"/>
    <s v="CB CERRADO - DESOCUPADO"/>
    <s v="0_x000a_ 0_x000a_ 01-08-2025 SE REALIZA VISITA A COMERCIO CB NO EXISTE NO ES POSIBLE COMUNICACIÓN CON TITULAR ILOCALIZABLE "/>
    <s v="VISITA_TÉCNICA"/>
    <n v="0"/>
    <s v="TIPO III"/>
    <s v="TERRESTRE"/>
    <s v="CASTRILLON URREA LONDIER LEANDRO"/>
    <n v="1"/>
    <n v="222904.07200000001"/>
    <n v="222904.07200000001"/>
  </r>
  <r>
    <s v="IBAGUE"/>
    <x v="2"/>
    <x v="2"/>
    <n v="73671"/>
    <s v="TA-25-906329"/>
    <n v="62416"/>
    <s v="ORDEN DE CAMBIO"/>
    <s v="TOLIMA"/>
    <s v="SALDAÑA"/>
    <s v="BARRIO VIA SALDANA GUAMO SALDA"/>
    <s v="REDEBAN"/>
    <s v="FO-25-1308287"/>
    <d v="2025-07-30T15:59:00"/>
    <d v="2025-08-01T11:07:00"/>
    <m/>
    <s v="CIERRE"/>
    <s v="CIERRE"/>
    <s v="CB UNO A UNO"/>
    <s v="CB UNO A UNO"/>
    <s v="NO_EXITOSO"/>
    <s v="CB NO ENTREGA EQUIPO"/>
    <s v="0_x000a_ 0_x000a_ 01-08-2025 SE LLAMA A LA SEÑORA BIBIANA GOMEZ AL NÚMERO DE TELÉFONO 3124662530, ME INDICA QUE ELLA NO VA A ENTREGAR EQUIPOS PORQUE ESTÁ ESPERANDO LA CARTA DE RETIRO DE EFECTY PARA CONTINUAR CON EL CORRESPONSAL. QUE ELLA ESTÁ EN CONTACTO CON LA ASESORA DE BANCOLOMBIA PARA SEGUIR CON EL CORRESPONSAL."/>
    <s v="SOPORTE_TELEFÓNICO"/>
    <n v="0"/>
    <s v="TIPO II"/>
    <s v="TERRESTRE"/>
    <s v="VARGAS HERRERA JHON JAIRO"/>
    <n v="0"/>
    <n v="37904.612000000001"/>
    <n v="37904.612000000001"/>
  </r>
  <r>
    <s v="MEDELLIN"/>
    <x v="0"/>
    <x v="0"/>
    <n v="5059"/>
    <s v="TA-25-917392"/>
    <n v="16613"/>
    <s v="ORDEN DE CAMBIO"/>
    <s v="ANTIOQUIA"/>
    <s v="ARMENIA"/>
    <s v="366 SAN DIEGO PLAZA OLIMPICA "/>
    <s v="REDEBAN"/>
    <s v="FO-25-1322151"/>
    <d v="2025-07-30T15:59:00"/>
    <d v="2025-08-01T11:55:00"/>
    <m/>
    <s v="CIERRE"/>
    <s v="RECUPERACION DE EQUIPOS"/>
    <s v="RETAIL"/>
    <s v="OLIMPICA"/>
    <s v="EJECUTADO_EXITOSO"/>
    <s v="CIERRE EXITOSO"/>
    <s v="SE REALIZA COMUNICACIÓN CON USUARIO. SE HABLA CON LILIANA GUIZA AL NÚMERO 3203261426. INDICA QUE LA SEMANA PASADA YA LE REALIZARON RETIRO DE EQUIPOS Y QUE YA NO TIENE MAS POR ENTREGAR DEL PUNTO 16613.SE ESCALA A LA RED //1/08 11:55 RESPUESTA DE LA RED: SE DOCUMENTA CASO: EJECUTADO EXITOSO. LA RECUPERACIÓN DE EQUIPOS FUE REALIZADA POR MEDIO DE LA GESTORÍA DE REDEBAN** RESPUESTA DE LA RED _x000a_ _x000a_ 0"/>
    <s v="SOPORTE_TELEFÓNICO"/>
    <n v="0"/>
    <s v="TIPO II"/>
    <s v="TERRESTRE"/>
    <n v="0"/>
    <n v="0"/>
    <n v="37904.612000000001"/>
    <n v="37904.612000000001"/>
  </r>
  <r>
    <s v="BOGOTA"/>
    <x v="3"/>
    <x v="3"/>
    <n v="11001"/>
    <s v="TA-25-906294"/>
    <n v="56731"/>
    <s v="ORDEN DE CAMBIO"/>
    <s v="CUNDINAMARCA"/>
    <s v="BOGOTA"/>
    <s v="DISTRICOL VARIEDADES TIN"/>
    <s v="REDEBAN"/>
    <s v="FO-25-1308178"/>
    <d v="2025-07-30T15:59:00"/>
    <d v="2025-08-01T13:58:00"/>
    <m/>
    <s v="CIERRE"/>
    <s v="CIERRE"/>
    <s v="AGREGADOR"/>
    <s v="DISTRICOL"/>
    <s v="ILOCALIZADO"/>
    <s v="CB CERRADO - DESOCUPADO"/>
    <s v="0_x000a_ 0_x000a_ 01-08-2025 DURANTE LA VISITA DE TECNICA PARA ATENDER CIERRE DE CORRESPONSAL BANCARIO LO CUAL NO ES POSIBLE PORQUE COMERCIO SE ENCUENTRA CERRADO Y NO SE EVIDENCIA LA EXISTENCIA DEL CB  SE LLAMA AL CELULAR 3505304343 EL CUAL SE ENCUENTRA APAGADO SE PROCEDE AL CIERRE DE LA ACTIVIDAD"/>
    <s v="VISITA_TÉCNICA"/>
    <n v="0"/>
    <s v="TIPO I"/>
    <s v="TERRESTRE"/>
    <s v="GALEANO SORIANO JUAN DAVID"/>
    <n v="1"/>
    <n v="44559.563999999998"/>
    <n v="44559.563999999998"/>
  </r>
  <r>
    <s v="BOGOTA"/>
    <x v="3"/>
    <x v="3"/>
    <n v="25817"/>
    <s v="TA-25-906311"/>
    <n v="15820"/>
    <s v="ORDEN DE CAMBIO"/>
    <s v="CUNDINAMARCA"/>
    <s v="TOCANCIPA"/>
    <s v="BARRIO VD LA FUENTE TOCANCIPA"/>
    <s v="REDEBAN"/>
    <s v="FO-25-1308234"/>
    <d v="2025-07-30T15:59:00"/>
    <d v="2025-08-01T14:34:00"/>
    <m/>
    <s v="CIERRE"/>
    <s v="CIERRE"/>
    <s v="CB UNO A UNO"/>
    <s v="CB UNO A UNO"/>
    <s v="NO_EXITOSO"/>
    <s v="CB NO ENTREGA EQUIPO"/>
    <s v="0_x000a_ 0_x000a_ 01-08-2025 CIERRE FALLIDO CLIENTE NO REALIZA ENTREGA DE LOS. EQUIPOS POR QUÉ NO LE HABÍA. AVISADO DEL CIERRE. DEL CB Y APARTE MANIFIESTA ESTAR EN UN PROCESO DE CONCILIACIÓN CON EL BANCO "/>
    <s v="VISITA_TÉCNICA"/>
    <s v="7ZZZZ964"/>
    <s v="TIPO II"/>
    <s v="TERRESTRE"/>
    <s v="HERNANDEZ NARANJO OSCAR EDUARDO"/>
    <n v="1"/>
    <n v="134410.88400000002"/>
    <n v="134410.88400000002"/>
  </r>
  <r>
    <s v="TUNJA"/>
    <x v="4"/>
    <x v="4"/>
    <n v="15001"/>
    <s v="TA-25-906307"/>
    <n v="62298"/>
    <s v="ORDEN DE CAMBIO"/>
    <s v="BOYACA"/>
    <s v="TUNJA"/>
    <s v="BARRIO COEDUCADORES TUNJA 1"/>
    <s v="REDEBAN"/>
    <s v="FO-25-1317256"/>
    <d v="2025-07-30T15:59:00"/>
    <d v="2025-08-01T16:41:00"/>
    <m/>
    <s v="CIERRE"/>
    <s v="CIERRE"/>
    <s v="CB UNO A UNO"/>
    <s v="CB UNO A UNO"/>
    <s v="NO_EXITOSO"/>
    <s v="CB NO ENTREGA EQUIPO"/>
    <s v="0_x000a_ 0_x000a_ 01-08-2025 SE VISITA PUNTO ENCONTRANDO EL COMERCIO CERRADO NÚMERO DE CONTACTO REGISTRADO FUERA DE SERVICIO SE GESTIONAN NÚMEROS EN VISITAS ANTERIORES SE LOGRA CONTACTO CON LA SEÑORA MARGARITA SUÁREZ QUIEN INDICA QUE SE ENCUENTRA REALIZANDO UNAS DILIGENCIAS PERSONALES INFORMA POSIBLE HORA DE ENTREGA EN HORAS PM EL DÍA DE HOY. _x000a_ 0_x000a_ 01-08-2025 SE VISITA PUNTO CLIENTE NO AUTORIZA EL RETIRO DE LOS EQUIPOS INDICAN QUE EL ASESOR DE LA ENTIDAD ESCALÓ EL CASO PARA QUE HABILITEN NUEVAMENTE EL CORRESPONSAL BANCARIO. "/>
    <s v="VISITA_TÉCNICA"/>
    <s v="OA00C217"/>
    <s v="TIPO I"/>
    <s v="TERRESTRE"/>
    <s v="RODRIGUEZ MURCIA YERSON IVAN"/>
    <n v="1"/>
    <n v="44559.563999999998"/>
    <n v="44559.563999999998"/>
  </r>
  <r>
    <s v="BOGOTA"/>
    <x v="3"/>
    <x v="3"/>
    <n v="11001"/>
    <s v="TA-25-906335"/>
    <n v="58581"/>
    <s v="ORDEN DE CAMBIO"/>
    <s v="CUNDINAMARCA"/>
    <s v="BOGOTA"/>
    <s v="BARRIO QUIRIGUA BOGOTQA"/>
    <s v="REDEBAN"/>
    <s v="FO-25-1308309"/>
    <d v="2025-07-30T15:59:00"/>
    <d v="2025-08-01T18:17:00"/>
    <m/>
    <s v="CIERRE"/>
    <s v="CIERRE"/>
    <s v="CB UNO A UNO"/>
    <s v="CB UNO A UNO"/>
    <s v="NO_EXITOSO"/>
    <s v="CB NO ENTREGA EQUIPO"/>
    <s v="0_x000a_ 0_x000a_ 01-08-2025 SE REALIZA VISITA A DIRECCIÓN DE COMERCIO, PERSONA QUE ATIENDE INDICA QUE LA SRA. YOVANA ANDREA GALLEGO LE VENDIÓ EL NEGOCIO, SE REALIZA LLAMADA TELEFÓNICA SE HABLA CON LA CLIENTE Y SE LE INDICA QUE DEBE COMUNICARSE A LA LÍNEA DE CORRESPONSAL BANCOLOMBIA Y SOLICITAR CITA PARA LA ENTREGA DE LOS EQUIPOS EN LA DIRECCIÓN DONDE LOS TENGA."/>
    <s v="VISITA_TÉCNICA"/>
    <n v="0"/>
    <s v="TIPO I"/>
    <s v="TERRESTRE"/>
    <s v="MURCIA HERNANDEZ HARVEY IGNACIO"/>
    <n v="1"/>
    <n v="44559.563999999998"/>
    <n v="44559.563999999998"/>
  </r>
  <r>
    <s v="BOGOTA"/>
    <x v="3"/>
    <x v="3"/>
    <n v="11001"/>
    <s v="TA-25-906337"/>
    <n v="74001"/>
    <s v="ORDEN DE CAMBIO"/>
    <s v="CUNDINAMARCA"/>
    <s v="BOGOTA"/>
    <s v="BARRIO ALAMOS BOGOTA 9"/>
    <s v="REDEBAN"/>
    <s v="FO-25-1308315"/>
    <d v="2025-07-30T15:59:00"/>
    <d v="2025-08-01T18:31:00"/>
    <m/>
    <s v="CIERRE"/>
    <s v="CIERRE"/>
    <s v="CB UNO A UNO"/>
    <s v="CB UNO A UNO"/>
    <s v="ILOCALIZADO"/>
    <s v="CB CERRADO - DESOCUPADO"/>
    <s v="0_x000a_ 0_x000a_ 01-08-2025 SE REALIZA DESPLAZAMIENTO A DIRECCIÓN DE COMERCIO, COMERCIO NO EXISTE, TELÉFONO DE CONTACTO NO FUNCIONA."/>
    <s v="VISITA_TÉCNICA"/>
    <n v="0"/>
    <s v="TIPO I"/>
    <s v="TERRESTRE"/>
    <s v="MURCIA HERNANDEZ HARVEY IGNACIO"/>
    <n v="1"/>
    <n v="44559.563999999998"/>
    <n v="44559.563999999998"/>
  </r>
  <r>
    <s v="BUCARAMANGA"/>
    <x v="4"/>
    <x v="4"/>
    <n v="68235"/>
    <s v="TA-25-906324"/>
    <n v="78424"/>
    <s v="ORDEN DE CAMBIO"/>
    <s v="SANTANDER"/>
    <s v="EL CARMEN DE CHUCURI"/>
    <s v="BARRIO CENTRO EL CARMEN DE CHUCURI  2"/>
    <s v="REDEBAN"/>
    <s v="FO-25-1308273"/>
    <d v="2025-07-30T15:59:00"/>
    <d v="2025-08-02T09:08:00"/>
    <m/>
    <s v="CIERRE"/>
    <s v="CIERRE"/>
    <s v="CB UNO A UNO"/>
    <s v="CB UNO A UNO"/>
    <s v="NO_EXITOSO"/>
    <s v="CB NO ENTREGA EQUIPO"/>
    <s v="0_x000a_ 01/08/2025 NO SE LOGRA COMUNICACIÓN CON LA LÍNEA SUMINISTRADA 3125576328, SE TRATA DE REALIZAR LLAMADA Y NO CONTESTA, SE DEJA MENSAJE VÍA CHAT SIN RESPUESTA POR PARTE DEL CLIENTE, SE LE INFORMA A COORDINADOR._x000a_01/08/2025  NO SE LOGRA COMUNICACIÓN CON LA LÍNEA SUMINISTRADA 3125576328-3125249927 , SE TRATA DE REALIZAR LLAMADA Y NO CONTESTA, SE DEJA MENSAJE VÍA CHAT SIN RESPUESTA POR PARTE DEL CLIENTE, SE LE INFORMA A COORDINADOR._x000a_ 02-08-2025 EN COMUNICACIÓN CON LA SEÑORA YEIMI VÍA CHAT A LA LINEA 3125576328, INDICA QUE VA HABLAR CON EL ASESOR PARA PODER GESTIONAR LA REACTIVACION DEL SERVICIO,SE LE INFORMA QUE TENDRÁ QUE GESTIONAR UNA NUEVA VISITA PARA RECOGER LOS EQUIPOS EN DADO CASO NO SE PUEDA REACTIVAR EL CB. "/>
    <s v="SOPORTE_TELEFÓNICO"/>
    <n v="0"/>
    <s v="TIPO IV"/>
    <s v="TERRESTRE"/>
    <s v="SANTOS GONZALEZ JOHAN FABIAN"/>
    <n v="0"/>
    <n v="37904.612000000001"/>
    <n v="37904.612000000001"/>
  </r>
  <r>
    <s v="BOGOTA"/>
    <x v="3"/>
    <x v="3"/>
    <n v="11001"/>
    <s v="TA-25-906334"/>
    <n v="57327"/>
    <s v="ORDEN DE CAMBIO"/>
    <s v="CUNDINAMARCA"/>
    <s v="BOGOTA"/>
    <s v="BARRIO PINAR BOGOTA"/>
    <s v="REDEBAN"/>
    <s v="FO-25-1308307"/>
    <d v="2025-07-30T15:59:00"/>
    <d v="2025-08-02T11:39:00"/>
    <m/>
    <s v="CIERRE"/>
    <s v="CIERRE"/>
    <s v="CB UNO A UNO"/>
    <s v="CB UNO A UNO"/>
    <s v="NO_EXITOSO"/>
    <s v="CB NO ENTREGA EQUIPO"/>
    <s v="0_x000a_ 02/08/2025 SE LLAGA A LA DIRECCIÓN CLIENTE MANIFIESTA QUE BANCOLOMBIA TIENE UN SALDO DE EL Y QUE CON BANCOLOMBIA SE HABIA LLEGADO AL ACUERDO QUE CUANDO LE RETORNARAN EL SALDO SE RECOJIAN LOS EQUIPOS ENTONCES NO ENTREGA EQUIPOS_x000a_ 02-08-2025 SE LLAGA A LA DIRECCIÓN CLIENTE MANIFIESTA QUE BANCOLOMBIA TIENE UN SALDO DE EL Y QUE CON BANCOLOMBIA SE HABIA LLEGADO AL ACUERDO QUE CUANDO LE RETORNARAN EL SALDO SE RECOJIAN LOS EQUIPOS ENTONCES NO ENTREGA EQUIPOS. NO DA MAS INFORMACIÓN."/>
    <s v="VISITA_TÉCNICA"/>
    <n v="0"/>
    <s v="TIPO I"/>
    <s v="TERRESTRE"/>
    <s v="SOTO MUNAR DYLAN DAVID"/>
    <n v="1"/>
    <n v="44559.563999999998"/>
    <n v="44559.563999999998"/>
  </r>
  <r>
    <s v="BOGOTA"/>
    <x v="3"/>
    <x v="3"/>
    <n v="11001"/>
    <s v="TA-25-899547"/>
    <n v="70302"/>
    <s v="ORDEN DE CAMBIO"/>
    <s v="CUNDINAMARCA"/>
    <s v="BOGOTA"/>
    <s v="PTM BOGOTA  DISTRI CASTEL SAS"/>
    <s v="REDEBAN"/>
    <s v="FO-25-1297618"/>
    <d v="2025-07-29T08:00:00"/>
    <d v="2025-08-02T12:16:00"/>
    <m/>
    <s v="CIERRE"/>
    <s v="RECUPERACION DE EQUIPOS"/>
    <s v="AGREGADOR"/>
    <s v="COMCARD - PTM"/>
    <s v="ILOCALIZADO"/>
    <s v="CB CERRADO - DESOCUPADO"/>
    <s v="0_x000a_ 02/08/2025 SE INTENTA LLAMAR AL CLIENTE Y NO CONTESTA, DE ESCRIBE POR WHATSAPP Y TAMPCO AHI RESPUESTA , AL LLEGAR AL PUNTO SE ENCUENTRA CERRADO_x000a_ 02-08-2025 SE INTENTA LLAMAR AL CLIENTE Y NO CONTESTA, DE ESCRIBE POR WHATSAPP Y TAMPCO AHI RESPUESTA , AL LLEGAR AL PUNTO SE ENCUENTRA CERRADO"/>
    <s v="VISITA_TÉCNICA"/>
    <s v="O"/>
    <s v="TIPO I"/>
    <s v="TERRESTRE"/>
    <s v="SOTO MUNAR DYLAN DAVID"/>
    <n v="1"/>
    <n v="44559.563999999998"/>
    <n v="44559.563999999998"/>
  </r>
  <r>
    <s v="NEIVA"/>
    <x v="2"/>
    <x v="2"/>
    <n v="41615"/>
    <s v="TA-25-906315"/>
    <n v="78964"/>
    <s v="ORDEN DE CAMBIO"/>
    <s v="HUILA"/>
    <s v="RIVERA"/>
    <s v="BARRIO CENTRO BAJO RIVERA 1"/>
    <s v="REDEBAN"/>
    <s v="FO-25-1308245"/>
    <d v="2025-07-30T15:59:00"/>
    <d v="2025-08-02T13:40:00"/>
    <m/>
    <s v="CIERRE"/>
    <s v="CIERRE"/>
    <s v="CB UNO A UNO"/>
    <s v="CB UNO A UNO"/>
    <s v="SOLICITUD_CANCELADA"/>
    <s v="CANCELADO POR LA ENTIDAD"/>
    <s v="0_x000a_ 0_x000a_ 02-08-2025 SE LLEGA A SITIO, NO SE ENCUENTRA NADIE EN LA CASA, SE LLAMA A NÚMERO DE CONTACTO 3207128409 PERO NO RESPONDEN."/>
    <s v="VISITA_TÉCNICA"/>
    <n v="0"/>
    <s v="TIPO I"/>
    <s v="TERRESTRE"/>
    <s v="DIAZ VARGAS JONATHAN MIGUEL"/>
    <n v="1"/>
    <n v="44559.563999999998"/>
    <n v="44559.563999999998"/>
  </r>
  <r>
    <s v="VILLAVICENCIO"/>
    <x v="2"/>
    <x v="2"/>
    <n v="50001"/>
    <s v="TA-25-906316"/>
    <n v="63562"/>
    <s v="ORDEN DE CAMBIO"/>
    <s v="META"/>
    <s v="VILLAVICENCIO"/>
    <s v="BARRIO RECREO VILLAVICENCIO 2"/>
    <s v="REDEBAN"/>
    <s v="FO-25-1308249"/>
    <d v="2025-07-30T15:59:00"/>
    <d v="2025-08-04T08:16:00"/>
    <m/>
    <s v="CIERRE"/>
    <s v="CIERRE"/>
    <s v="CB UNO A UNO"/>
    <s v="CB UNO A UNO"/>
    <s v="NO_EXITOSO"/>
    <s v="CB NO ENTREGA EQUIPO"/>
    <s v="0_x000a_ 0_x000a_ 04-08-2025 SE REALIZA VISITA Y ENCARGADO INFORMA QUE NO TIENE CONOCIMIENTO QUE TOCA COMUNICARSE CON LOS DUEÑOS YA QUE ELLOS VENDIERON EL.NEGOCIO"/>
    <s v="VISITA_TÉCNICA"/>
    <n v="0"/>
    <s v="TIPO I"/>
    <s v="TERRESTRE"/>
    <s v="PEDREROS CONTRERAS MICHAEL STEVENS"/>
    <n v="1"/>
    <n v="44559.563999999998"/>
    <n v="44559.563999999998"/>
  </r>
  <r>
    <s v="APARTADO"/>
    <x v="0"/>
    <x v="0"/>
    <n v="5490"/>
    <s v="TA-25-899458"/>
    <n v="71512"/>
    <s v="ORDEN DE CAMBIO"/>
    <s v="ANTIOQUIA"/>
    <s v="NECOCLI"/>
    <s v="DISTRICOL LA 44 DE DORKI"/>
    <s v="REDEBAN"/>
    <s v="FO-25-1297487"/>
    <d v="2025-07-29T08:00:00"/>
    <d v="2025-08-04T08:28:00"/>
    <m/>
    <s v="CIERRE"/>
    <s v="CIERRE"/>
    <s v="AGREGADOR"/>
    <s v="DISTRICOL"/>
    <s v="NO_EXITOSO"/>
    <s v="CB NO ENTREGA EQUIPO"/>
    <s v="0_x000a_ 0_x000a_ 04-08-2025 SE LLAMA AL USUARIO PARA PROGRAMAR LA VISITA, EL USUARIO NOS MANIFIESTA QUE NO NOS PUEDE ANTENDER Y QUE VA A COMUNICARCE CON LA ALIANZA DISTRICOL PARA CAMBIAR EL MODO DEL CORRESPONSAL A PREPAGO. "/>
    <s v="SOPORTE_TELEFÓNICO"/>
    <n v="0"/>
    <s v="TIPO II"/>
    <s v="TERRESTRE"/>
    <s v="SALDARRIAGA MIRANDA SANTIAGO"/>
    <n v="0"/>
    <n v="37904.612000000001"/>
    <n v="37904.612000000001"/>
  </r>
  <r>
    <s v="APARTADO"/>
    <x v="0"/>
    <x v="0"/>
    <n v="5837"/>
    <s v="TA-25-899462"/>
    <n v="37620"/>
    <s v="ORDEN DE CAMBIO"/>
    <s v="ANTIOQUIA"/>
    <s v="TURBO"/>
    <s v="DISTRICOL PAPELERIA BEERM"/>
    <s v="REDEBAN"/>
    <s v="FO-25-1297489"/>
    <d v="2025-07-29T08:00:00"/>
    <d v="2025-08-04T08:39:00"/>
    <m/>
    <s v="CIERRE"/>
    <s v="CIERRE"/>
    <s v="AGREGADOR"/>
    <s v="DISTRICOL"/>
    <s v="NO_EXITOSO"/>
    <s v="CB NO ENTREGA EQUIPO"/>
    <s v="0_x000a_ 0_x000a_ 04-08-2025 USUARIO MANIFIESTA QUE YA HIZO LA ENTREGA DEL COMERCIO Y ENVIO LOS EQUIPOS A DISTRICOL MEDELLIN. NOS COMPARTE EVIDENCIA DE LOS EQUIPOS Y GUIA DEL ENVIO"/>
    <s v="SOPORTE_TELEFÓNICO"/>
    <n v="0"/>
    <s v="TIPO II"/>
    <s v="TERRESTRE"/>
    <s v="SALDARRIAGA MIRANDA SANTIAGO"/>
    <n v="0"/>
    <n v="37904.612000000001"/>
    <n v="37904.612000000001"/>
  </r>
  <r>
    <s v="MEDELLIN"/>
    <x v="0"/>
    <x v="0"/>
    <n v="5197"/>
    <s v="TA-25-899457"/>
    <n v="59566"/>
    <s v="ORDEN DE CAMBIO"/>
    <s v="ANTIOQUIA"/>
    <s v="COCORNA"/>
    <s v="DISTRICOL VARIEDADES ARCO IRIS"/>
    <s v="REDEBAN"/>
    <s v="FO-25-1297476"/>
    <d v="2025-07-29T08:00:00"/>
    <d v="2025-08-04T11:15:00"/>
    <m/>
    <s v="CIERRE"/>
    <s v="CIERRE"/>
    <s v="AGREGADOR"/>
    <s v="DISTRICOL"/>
    <s v="NO_EXITOSO"/>
    <s v="CB NO ENTREGA EQUIPO"/>
    <s v="_x000a_ 0_x000a_ 04-08-2025 SE VISITA COMERCIO PERO ESTA DESOCUPADO, SE LLAMA AL NÚMERO INDICADO PERO LA SEÑORA VERÓNICA CANO INDICA QUE ELLA VA A ENTREGAR ELLA MISMA EL DATAFONO EN LAS OFICINAS DE DISTRICOL "/>
    <s v="VISITA_TÉCNICA"/>
    <n v="0"/>
    <s v="TIPO II"/>
    <s v="TERRESTRE"/>
    <s v="RUA ALVAREZ RICHARD ANDRES"/>
    <n v="1"/>
    <n v="134410.88400000002"/>
    <n v="134410.88400000002"/>
  </r>
  <r>
    <s v="BOGOTA"/>
    <x v="3"/>
    <x v="3"/>
    <n v="25200"/>
    <s v="TA-25-906341"/>
    <n v="37315"/>
    <s v="ORDEN DE CAMBIO"/>
    <s v="CUNDINAMARCA"/>
    <s v="COGUA"/>
    <s v="BARRIO CENTRO COGUA 2"/>
    <s v="REDEBAN"/>
    <s v="FO-25-1308339"/>
    <d v="2025-07-30T15:59:00"/>
    <d v="2025-08-04T15:14:00"/>
    <m/>
    <s v="CIERRE"/>
    <s v="RECUPERACION DE EQUIPOS"/>
    <s v="CB UNO A UNO"/>
    <s v="CB UNO A UNO"/>
    <s v="NO_EXITOSO"/>
    <s v="CB NO ENTREGA EQUIPO"/>
    <s v="_x000a_ 0_x000a_ 04-08-2025 SE LLEGA A DIRECCIÓN REFERENCIADA EN ORDEN DE TRABAJO CL 1 B # 14 A - 2 SE GOLPEA. Y SE TIMBRA NADIE SALE, SE REALIZA INTENTOS DE COMUNICACIÓN CON CLIENTE RAFAEL RAMOS A NI.E REGISTRADO 3144520647 EL CUAL INFORMA QUE EN EL MOMENTO NO SE ENCUENTRA NADIE Y DAMAS . INFORMA QUE PARA PRÓXIMA VISITA QUE POR FAVOR PASAR DESPUÉS DE 2 DE LA TARDE Y LLAMAR CON ANTICIPACIÓN SE ESCALA Y SE CIERRA "/>
    <s v="VISITA_TÉCNICA"/>
    <n v="0"/>
    <s v="TIPO II"/>
    <s v="TERRESTRE"/>
    <s v="ORTIZ MARTINEZ STIVEN"/>
    <n v="1"/>
    <n v="134410.88400000002"/>
    <n v="134410.88400000002"/>
  </r>
  <r>
    <s v="CARTAGENA"/>
    <x v="5"/>
    <x v="5"/>
    <n v="13001"/>
    <s v="TA-25-904648"/>
    <n v="43018"/>
    <s v="ORDEN DE CAMBIO"/>
    <s v="BOLIVAR"/>
    <s v="CARTAGENA"/>
    <s v="BARRIO LA CORDIALIDAD CARTAGEN"/>
    <s v="REDEBAN"/>
    <s v="FO-25-1305901"/>
    <d v="2025-07-30T12:33:00"/>
    <d v="2025-08-04T16:11:00"/>
    <m/>
    <s v="CIERRE"/>
    <s v="RECUPERACION DE EQUIPOS"/>
    <s v="CB UNO A UNO"/>
    <s v="CB UNO A UNO"/>
    <s v="NO_EXITOSO"/>
    <s v="PARCIAL EXITOSO PTE. DATAFONO"/>
    <s v="30-07 DE ACUERDO A COMUNICACIÓN DE CONTACTO DE CB  43018 SR JAVIER DIAZ, CON COLABORADOR DE LINEA, INDICA QUE YA CUENTA CON LOS EQUIPOS PARA REALIZAR LOS CIERRES, ÉSTOS TENÍAN ORDEN DE CIERRE DESDE EL PASADO MES DE ABRIL, PERO NO ENTREGARON LOS EQUIPOS EN ESA FECHA_x000a_ 0_x000a_ 30-07-2025 SE REALIZA CIERRE DEL CB CLIENTE ENTREGA EQUIPO LECTORA HUB NO ENTREGA PUBLICIDAD HACE FALTA UNOS EQUIPOS LOS VAN A BUSCAR Y AVISAN CUANDO YA LOS TENGA PARA VENIRLOS A RECOGER "/>
    <s v="VISITA_TÉCNICA"/>
    <s v="AB9ZZ980"/>
    <s v="TIPO I"/>
    <s v="TERRESTRE"/>
    <s v="CANEDO HERRERA ALEXANDER"/>
    <n v="1"/>
    <n v="44559.563999999998"/>
    <n v="44559.563999999998"/>
  </r>
  <r>
    <s v="VILLAVICENCIO"/>
    <x v="2"/>
    <x v="2"/>
    <n v="50001"/>
    <s v="TA-25-906338"/>
    <n v="60579"/>
    <s v="ORDEN DE CAMBIO"/>
    <s v="META"/>
    <s v="VILLAVICENCIO"/>
    <s v="BARRIO LA MADRID VILLAVICENCIO"/>
    <s v="REDEBAN"/>
    <s v="FO-25-1308322"/>
    <d v="2025-07-30T15:59:00"/>
    <d v="2025-08-05T08:37:00"/>
    <m/>
    <s v="CIERRE"/>
    <s v="CIERRE"/>
    <s v="CB UNO A UNO"/>
    <s v="CB UNO A UNO"/>
    <s v="NO_EXITOSO"/>
    <s v="CB NO ENTREGA EQUIPO"/>
    <s v="_x000a_ 05/08/2025 SE REALIZA GESTIÓN TELEFÓNICA AL NÚMERO 6044619700 EL CUAL CONTESTA EL SEÑOR CARLOS OCAMPO CON CÉDULA 70326497 HIJO DE LA SEÑORA ROCÍO ARENAS DE OCAMPO Y MANIFIESTA QUE POR FAVOR REALIZAR LA RECOGIDA EL DÍA DE MAÑANA EN MEDELLÍN EN LA DIRECCIÓN CL.53 # 78-121 EN LOS EDIFICIOS PALMAR DE LOS COLORES, EL VIGILANTE ENTREGA LOS EQUIPOS._x000a_ 05-08-2025 SE REALIZA GESTIÓN TELEFÓNICA AL NÚMERO 6044619700 EL CUAL CONTESTA EL SEÑOR CARLOS OCAMPO CON CÉDULA 70326497 HIJO DE LA SEÑORA ROCÍO ARENAS DE OCAMPO Y MANIFIESTA QUE POR FAVOR REALIZAR LA RECOGIDA EL DÍA DE MAÑANA EN MEDELLÍN EN LA DIRECCIÓN CL.53 # 78-121 EN LOS EDIFICIOS PALMAR DE LOS COLORES, EL VIGILANTE ENTREGA LOS EQUIPOS."/>
    <s v="SOPORTE_TELEFÓNICO"/>
    <n v="0"/>
    <s v="TIPO I"/>
    <s v="TERRESTRE"/>
    <s v="PEDREROS CONTRERAS MICHAEL STEVENS"/>
    <n v="0"/>
    <n v="37904.612000000001"/>
    <n v="37904.612000000001"/>
  </r>
  <r>
    <s v="PASTO"/>
    <x v="1"/>
    <x v="1"/>
    <n v="52083"/>
    <s v="TA-25-906320"/>
    <n v="64590"/>
    <s v="ORDEN DE CAMBIO"/>
    <s v="NARIÑO"/>
    <s v="BELEN"/>
    <s v="BARRIO AV LOS ESTUDIANTES BELE"/>
    <s v="REDEBAN"/>
    <s v="FO-25-1308262"/>
    <d v="2025-07-30T15:59:00"/>
    <d v="2025-08-06T09:47:00"/>
    <m/>
    <s v="CIERRE"/>
    <s v="CIERRE"/>
    <s v="CB UNO A UNO"/>
    <s v="CB UNO A UNO"/>
    <s v="NO_EXITOSO"/>
    <s v="CB NO ENTREGA EQUIPO"/>
    <s v="0_x000a_ 0_x000a_ 06-08-2025 SE HABLA CON EL SEÑOR MILCIADES QUIEN INDICA QUE SE ENCUENTRA EN UN PROCESO DE VALIDACION CON LA ENTIDAD PARA LA CONTINUIDAD DEL CORRESPONAL, POR TANTO POR AHORA NO DESEA LA ENTREGA DEL LOS EQUIPOS PUES ESTA EN ESPERA DE VALIDACIONES Y RESPUESTA DE LA ENTIDAD ANTE LA PETICION."/>
    <s v="SOPORTE_TELEFÓNICO"/>
    <n v="0"/>
    <s v="TIPO III"/>
    <s v="TERRESTRE"/>
    <s v="HENAO CARDONA DIEGO FERNANDO"/>
    <n v="0"/>
    <n v="37904.612000000001"/>
    <n v="37904.612000000001"/>
  </r>
  <r>
    <s v="CUCUTA"/>
    <x v="4"/>
    <x v="4"/>
    <n v="54001"/>
    <s v="TA-25-924046"/>
    <n v="71022"/>
    <s v="ORDEN DE CAMBIO"/>
    <s v="NORTE DE SANTANDER"/>
    <s v="CUCUTA"/>
    <s v="DISTRICOL CENTROPAG"/>
    <s v="REDEBAN"/>
    <s v="FO-25-1332781"/>
    <d v="2025-08-05T14:20:00"/>
    <d v="2025-08-06T16:06:00"/>
    <m/>
    <s v="CIERRE"/>
    <s v="RECUPERACION DE EQUIPOS"/>
    <s v="AGREGADOR"/>
    <s v="DISTRICOL"/>
    <s v="NO_EXITOSO"/>
    <s v="CB NO ENTREGA EQUIPO"/>
    <s v="_x000a_ 0_x000a_ 06-08-2025 SE VISITA COMERCIO, PERSONA EN SITIO DICE QUE NO ESTA AUTORIZADA PARA ATENDER VISITA YA QUE NO ES LA DUEÑA, SE COMUNICA CON EL CLIENTE A LOS NUMEROS INDICADOS NO SE RESIVE RESPUESTA, SIN COMUNICACION."/>
    <s v="VISITA_TÉCNICA"/>
    <s v="MN00C096"/>
    <s v="TIPO I"/>
    <s v="TERRESTRE"/>
    <s v="NARANJO AFANADOR RUBEN JESUS"/>
    <n v="1"/>
    <n v="44559.563999999998"/>
    <n v="44559.563999999998"/>
  </r>
  <r>
    <s v="NEIVA"/>
    <x v="2"/>
    <x v="2"/>
    <n v="41001"/>
    <s v="TA-25-924053"/>
    <n v="64929"/>
    <s v="ORDEN DE CAMBIO"/>
    <s v="HUILA"/>
    <s v="NEIVA"/>
    <s v="DISTRICOL BEATIFUL NAILS"/>
    <s v="REDEBAN"/>
    <s v="FO-25-1332800"/>
    <d v="2025-08-05T14:20:00"/>
    <d v="2025-08-06T20:29:00"/>
    <m/>
    <s v="CIERRE"/>
    <s v="CIERRE"/>
    <s v="AGREGADOR"/>
    <s v="DISTRICOL"/>
    <s v="NO_EXITOSO"/>
    <s v="CB NO ENTREGA EQUIPO"/>
    <s v="_x000a_ 0_x000a_ 06-08-2025 SE REALIZA VISITA AL PUNTO SE EVIDENCIA COEMECIO CERRADO, EN COMUNICACIÓN CON EL CLIENTE LA SEÑORA DANIELA RUBIANO, AL NÚMERO +57 322 3100611, INDICA QUE NO CUENTA CON LOS EQUIPOS, YA QUE LOS ENVIARON A LAS OFICINAS DE DISTRICOL EN MEDELLÍN, "/>
    <s v="VISITA_TÉCNICA"/>
    <n v="0"/>
    <s v="TIPO I"/>
    <s v="TERRESTRE"/>
    <s v="DEVIA REINOSO JUAN CARLOS"/>
    <n v="1"/>
    <n v="44559.563999999998"/>
    <n v="44559.563999999998"/>
  </r>
  <r>
    <s v="SANTA MARTA"/>
    <x v="5"/>
    <x v="5"/>
    <n v="47268"/>
    <s v="TA-25-941588"/>
    <n v="53238"/>
    <s v="ORDEN DE CAMBIO"/>
    <s v="MAGDALENA"/>
    <s v="EL RETEN"/>
    <s v="PTM EL RETEN SERVIFRIOMAR"/>
    <s v="REDEBAN"/>
    <s v="FO-25-1345215"/>
    <d v="2025-08-06T17:18:00"/>
    <d v="2025-08-08T17:15:00"/>
    <m/>
    <s v="CIERRE"/>
    <s v="CIERRE"/>
    <s v="AGREGADOR"/>
    <s v="COMCARD - PTM"/>
    <s v="ILOCALIZADO"/>
    <s v="CB CERRADO - DESOCUPADO"/>
    <s v="0_x000a_ 0_x000a_ 08-08-2025 SE HACE GESTIÓN TELEFÓNICA, EL USUARIO NO RESPONDE LAS.LLAMDAS, SE REALIZA LA VISITA, NO SE HAYA EL CORRESPONSAL EN EL PUNTO  SE VALIDA LA UBICACIÓN DEL SITIO CON EL COORDINADOR PERO EN EL SITIO NO HAY CORRESPONSAL INSTALADO Y NADIE DA RAZÓN DEL USUARIO NI DEL CORRESPONSAL "/>
    <s v="VISITA_TÉCNICA"/>
    <n v="0"/>
    <s v="TIPO III"/>
    <s v="TERRESTRE"/>
    <s v="THOMAS  CAMPO SIGIFREDO SEGUNDO"/>
    <n v="1"/>
    <n v="222904.07200000001"/>
    <n v="222904.07200000001"/>
  </r>
  <r>
    <s v="CALI"/>
    <x v="1"/>
    <x v="1"/>
    <n v="76364"/>
    <s v="TA-25-941582"/>
    <n v="36900"/>
    <s v="ORDEN DE CAMBIO"/>
    <s v="VALLE DEL CAUCA"/>
    <s v="JAMUNDI"/>
    <s v="BARRIO JAMUNDI VALLE DEL CAUCA"/>
    <s v="REDEBAN"/>
    <s v="FO-25-1345200"/>
    <d v="2025-08-06T17:22:00"/>
    <d v="2025-08-09T12:01:00"/>
    <m/>
    <s v="CIERRE"/>
    <s v="RECUPERACION DE EQUIPOS"/>
    <s v="CB UNO A UNO"/>
    <s v="CB UNO A UNO"/>
    <s v="ILOCALIZADO"/>
    <s v="CB CERRADO - DESOCUPADO"/>
    <s v="0_x000a_ 0_x000a_ 09-08-2025 SE VISITA CORRESPONSAL Y SE ENCONTRÓ CERRADO, SE LLAMA AL CONTACTO EN REPETIDAS OCASIONES NO CONTESTA. "/>
    <s v="VISITA_TÉCNICA"/>
    <s v="MN0SZ859"/>
    <s v="TIPO II"/>
    <s v="TERRESTRE"/>
    <s v="BOLAÑOS TABORDA JORGE ENRIQUE"/>
    <n v="1"/>
    <n v="134410.88400000002"/>
    <n v="134410.88400000002"/>
  </r>
  <r>
    <s v="NEIVA"/>
    <x v="2"/>
    <x v="2"/>
    <n v="41001"/>
    <s v="TA-25-948860"/>
    <n v="33473"/>
    <s v="ORDEN DE CAMBIO"/>
    <s v="HUILA"/>
    <s v="NEIVA"/>
    <s v="BARRIO CENTRO NEIVA 3"/>
    <s v="REDEBAN"/>
    <s v="FO-25-1353510"/>
    <d v="2025-08-09T16:48:00"/>
    <d v="2025-08-09T12:01:00"/>
    <m/>
    <s v="CIERRE"/>
    <s v="CIERRE"/>
    <s v="CB UNO A UNO"/>
    <s v="CB UNO A UNO"/>
    <s v="ILOCALIZADO"/>
    <s v="CB CERRADO - DESOCUPADO"/>
    <s v="0_x000a_ 0_x000a_ 09-08-2025 SE LLEGA AL PUNTO , LOCAL VACÍO Y DISPONIBLE , SE PREGUNTA A VIGILANTE DEL EDIFICIO COMENTANDO QUE LLEVA MUCHO TIEMPO VACÍO , SE LLAMA AL NÚMERO NO CONTESTA , SE ESCRIBE POR WHATSAPP NO HAY RESPUESTA "/>
    <s v="VISITA_TÉCNICA"/>
    <s v="17ZZZ823"/>
    <s v="TIPO I"/>
    <s v="TERRESTRE"/>
    <s v="ANDRADE HERNANDEZ JUAN CARLOS"/>
    <n v="1"/>
    <n v="44559.563999999998"/>
    <n v="44559.563999999998"/>
  </r>
  <r>
    <s v="NEIVA"/>
    <x v="2"/>
    <x v="2"/>
    <n v="41001"/>
    <s v="TA-25-948862"/>
    <n v="33475"/>
    <s v="ORDEN DE CAMBIO"/>
    <s v="HUILA"/>
    <s v="NEIVA"/>
    <s v="BARRIO CENTRO NEIVA 5"/>
    <s v="REDEBAN"/>
    <s v="FO-25-1353516"/>
    <d v="2025-08-09T16:48:00"/>
    <d v="2025-08-09T12:12:00"/>
    <m/>
    <s v="CIERRE"/>
    <s v="CIERRE"/>
    <s v="CB UNO A UNO"/>
    <s v="CB UNO A UNO"/>
    <s v="ILOCALIZADO"/>
    <s v="CB CERRADO - DESOCUPADO"/>
    <s v="0_x000a_ 0_x000a_ 09-08-2025 SE REALIZA VISITA A LA DIRECCIÓN INDICADA EN LA ORDEN, SE EVIDENCIARÁ COMERCIO ESTÁ CERRADO , SE INTENTA COMUNICACIÓN A NÚMERO INDICADO EN LA ORDEN PERO NO HAY REPSUESTA."/>
    <s v="VISITA_TÉCNICA"/>
    <n v="0"/>
    <s v="TIPO I"/>
    <s v="TERRESTRE"/>
    <s v="DEVIA REINOSO JUAN CARLOS"/>
    <n v="1"/>
    <n v="44559.563999999998"/>
    <n v="44559.563999999998"/>
  </r>
  <r>
    <s v="NEIVA"/>
    <x v="2"/>
    <x v="2"/>
    <n v="41001"/>
    <s v="TA-25-948861"/>
    <n v="33474"/>
    <s v="ORDEN DE CAMBIO"/>
    <s v="HUILA"/>
    <s v="NEIVA"/>
    <s v="BARRIO CENTRO NEIVA 4"/>
    <s v="REDEBAN"/>
    <s v="FO-25-1353513"/>
    <d v="2025-08-09T16:48:00"/>
    <d v="2025-08-09T12:15:00"/>
    <m/>
    <s v="CIERRE"/>
    <s v="CIERRE"/>
    <s v="CB UNO A UNO"/>
    <s v="CB UNO A UNO"/>
    <s v="ILOCALIZADO"/>
    <s v="CB CERRADO - DESOCUPADO"/>
    <s v="0_x000a_ 0_x000a_ 09-08-2025 SE REALIZA VISITA A LA DIRECCIÓN INDICADA EN LA ORDEN, SE EVIDENCIARÁ COMERCIO ESTÁ CERRADO , SE INTENTA COMUNICACIÓN A NÚMERO INDICADO EN LA ORDEN PERO NO HAY REPSUESTA."/>
    <s v="VISITA_TÉCNICA"/>
    <n v="0"/>
    <s v="TIPO I"/>
    <s v="TERRESTRE"/>
    <s v="DEVIA REINOSO JUAN CARLOS"/>
    <n v="1"/>
    <n v="44559.563999999998"/>
    <n v="44559.563999999998"/>
  </r>
  <r>
    <s v="NEIVA"/>
    <x v="2"/>
    <x v="2"/>
    <n v="18592"/>
    <s v="TA-25-924060"/>
    <n v="77695"/>
    <s v="ORDEN DE CAMBIO"/>
    <s v="CAQUETA"/>
    <s v="PUERTO RICO"/>
    <s v="BARRIO SIETE DE AGOSTO PUERTO RICO"/>
    <s v="REDEBAN"/>
    <s v="FO-25-1332827"/>
    <d v="2025-08-05T14:20:00"/>
    <d v="2025-08-11T12:50:00"/>
    <m/>
    <s v="CIERRE"/>
    <s v="CIERRE"/>
    <s v="CB UNO A UNO"/>
    <s v="CB UNO A UNO"/>
    <s v="ILOCALIZADO"/>
    <s v="CB CERRADO - DESOCUPADO"/>
    <s v="0_x000a_ 0_x000a_ 11-08-2025 SE LLEGA AL ESTABLECIMIENTO PERO SE ENCUENTRA CERRADO Y DESOCUPADO, SE PREGUNTA A LAS PERSONAS DEL SECTOR Y MANIFIESTA QUE SE FUERON DE AHÍ DEL LUGAR, SE LLAMA Y SE ESCRIBE AL NÚMERO DE LA TA PERO NADIE RESPONDE, CIERRE FALLIDO."/>
    <s v="VISITA_TÉCNICA"/>
    <s v="10LZZ966"/>
    <s v="TIPO IV ESPECIAL"/>
    <s v="TERRESTRE"/>
    <s v="BERMUDEZ SANCHEZ JOSE NEYBER"/>
    <n v="1"/>
    <n v="464809.36800000002"/>
    <n v="464809.36800000002"/>
  </r>
  <r>
    <s v="NEIVA"/>
    <x v="2"/>
    <x v="2"/>
    <n v="73483"/>
    <s v="TA-25-948868"/>
    <n v="75471"/>
    <s v="ORDEN DE CAMBIO"/>
    <s v="TOLIMA"/>
    <s v="NATAGAIMA"/>
    <s v="BARRIO  CENTRO NATAGAIMA"/>
    <s v="REDEBAN"/>
    <s v="FO-25-1361975"/>
    <d v="2025-08-09T16:48:00"/>
    <d v="2025-08-11T16:45:00"/>
    <m/>
    <s v="CIERRE"/>
    <s v="CIERRE"/>
    <s v="CB UNO A UNO"/>
    <s v="CB UNO A UNO"/>
    <s v="EJECUTADO_EXITOSO"/>
    <s v="CIERRE EXITOSO"/>
    <s v="0_x000a_ 0_x000a_ 11-08-2025 SE LLEGA AL SITIO COMERCIO CERRADO , VECINOS MANIFIESTA QUE EL ALMACÉN FUE RECOGIDO Y LLEVADO A IBAGUÉ, SE MARCA AL CELULAR NO CONTESTA, SE ESCRIBE POR WHATSAPP NO HAY RESPUESTA , CLIENTE EN EL ÚLTIMO MINUTO DA RESPUESTA COMENTANDO QUE LOS EQUIPOS ESTÁN EN EL MUNICIPIO DE SALDAÑA , QUE SI PODEMOS RECOGERLOS ALLÍ SE ESCALA AL JEFE INMEDIATO DONDE AUTORIZA DESPLAZARNOS HASTA SALDAÑA._x000a_ 0_x000a_ 11-08-2025 CLIENTE ENTREGA DATAFONO , LECTOR DE BARRAS,CABLE MAGIC BOX, FUENTE DE PODER DATÁFONO Y CABLE DE RED , PUBLICIDAD Y ROLLOS NO HAY "/>
    <s v="VISITA_TÉCNICA"/>
    <s v="V100C094-A406Z663"/>
    <s v="TIPO II"/>
    <s v="TERRESTRE"/>
    <s v="ANDRADE HERNANDEZ JUAN CARLOS"/>
    <n v="1"/>
    <n v="134410.88400000002"/>
    <n v="134410.88400000002"/>
  </r>
  <r>
    <s v="VILLAVICENCIO"/>
    <x v="2"/>
    <x v="2"/>
    <n v="50001"/>
    <s v="TA-25-948865"/>
    <n v="74538"/>
    <s v="ORDEN DE CAMBIO"/>
    <s v="META"/>
    <s v="VILLAVICENCIO"/>
    <s v="BARRIO DOCE DE OCTUBRE VILLAVI"/>
    <s v="REDEBAN"/>
    <s v="FO-25-1353528"/>
    <d v="2025-08-09T16:48:00"/>
    <d v="2025-08-12T08:46:00"/>
    <m/>
    <s v="CIERRE"/>
    <s v="CIERRE"/>
    <s v="CB UNO A UNO"/>
    <s v="CB UNO A UNO"/>
    <s v="ILOCALIZADO"/>
    <s v="CB CERRADO - DESOCUPADO"/>
    <s v="0_x000a_ 0_x000a_ 12-08-2025 SE REALIZA VISITA A LA DIRECCIÓN DE CB Y COMERCIO NO EXISTE, SE PREGUNTA EN LA DIRECCION Y NOS INFORMAN NO CONOCER AL SEÑOR OSCAR VARGAS "/>
    <s v="VISITA_TÉCNICA"/>
    <n v="0"/>
    <s v="TIPO I"/>
    <s v="TERRESTRE"/>
    <s v="PEDREROS CONTRERAS MICHAEL STEVENS"/>
    <n v="1"/>
    <n v="44559.563999999998"/>
    <n v="44559.563999999998"/>
  </r>
  <r>
    <s v="CALI"/>
    <x v="1"/>
    <x v="1"/>
    <n v="76520"/>
    <s v="TA-25-948870"/>
    <n v="59729"/>
    <s v="ORDEN DE CAMBIO"/>
    <s v="VALLE DEL CAUCA"/>
    <s v="PALMIRA"/>
    <s v="BARRIO EL CENTRO PALMIRA"/>
    <s v="REDEBAN"/>
    <s v="FO-25-1353541"/>
    <d v="2025-08-09T16:48:00"/>
    <d v="2025-08-12T08:52:00"/>
    <m/>
    <s v="CIERRE"/>
    <s v="CIERRE"/>
    <s v="CB UNO A UNO"/>
    <s v="CB UNO A UNO"/>
    <s v="NO_EXITOSO"/>
    <s v="CB NO ENTREGA EQUIPO"/>
    <s v="0_x000a_ 0_x000a_ 11-08-2025 EN LA VISITA TÉCNICA SE ENCONTRÓ EL LUGAR CERRADO, SE REALIZÓ GESTIÓN TELEFÓNICA Y LA USUARIA INFORMA QUE ÉL CB YA NO EXISTE EN ESTE LUGAR INFORMA QUE ELLA PIDIÓ UN TRASLADO, NO UN CIERRE, ADICIONAL NO PUEDE ATENDER PORQUE NO SE ENCUENTRA"/>
    <s v="VISITA_TÉCNICA"/>
    <n v="0"/>
    <s v="TIPO I"/>
    <s v="TERRESTRE"/>
    <s v="SANCHEZ URREGO ROBINSON DAVID"/>
    <n v="1"/>
    <n v="44559.563999999998"/>
    <n v="44559.563999999998"/>
  </r>
  <r>
    <s v="CALI"/>
    <x v="1"/>
    <x v="1"/>
    <n v="76109"/>
    <s v="TA-25-941581"/>
    <n v="76884"/>
    <s v="ORDEN DE CAMBIO"/>
    <s v="VALLE DEL CAUCA"/>
    <s v="BUENAVENTURA"/>
    <s v="BARRIO BAHIA MALAGA"/>
    <s v="REDEBAN"/>
    <s v="FO-25-1345197"/>
    <d v="2025-08-06T17:22:00"/>
    <d v="2025-08-12T09:17:00"/>
    <m/>
    <s v="CIERRE"/>
    <s v="RECUPERACION DE EQUIPOS"/>
    <s v="CB UNO A UNO"/>
    <s v="CB UNO A UNO"/>
    <s v="NO_EXITOSO"/>
    <s v="CB NO ENTREGA EQUIPO"/>
    <s v="0_x000a_ 0_x000a_ 12-08-2025 SE REALIZA LLAMADA A LOS NUMEROS A LA SEÑORA LIZETH , CONTESTA PERO INDICA NO TENER CONOCIMIENTO DE QUE LE HABLAMOS NI DE NINGUN CORRESPONSAL BANCARIA EN BAHIA MALAGA, SE BUSCAN MAS NUMEROS DE CONTACTO , SE ENCUENTRA EL NUMERO 3153841106, LA PERSONA QUE CONTESTA NO DA EL NOMBRE INDICA QUE ELLA YA NO TRABAJA  CON EL SEÑOR EDWIN MANZUERA QUIEN ERA EL ENCARGADO DEL CORRESPONSAL INDCIA QUE ELLOS SE FUERON DE LA ISLA SIN DAR RAZON Y SIN PAGARLES , NO TIENE CONOCIMIENTO DE DONDE ESTAN LOS EQUIPOS PUES ALLA EN LA ISLA YA NO HAY NADA, NOS DA EL NUMERO DE CONTACTO DEL SEÑOR EDWIN PERO NO HA SIDO POSIBLE ENTABLAR COMUNICACION."/>
    <s v="SOPORTE_TELEFÓNICO"/>
    <n v="0"/>
    <s v="TIPO III"/>
    <s v="TERRESTRE"/>
    <s v="HENAO CARDONA DIEGO FERNANDO"/>
    <n v="0"/>
    <n v="37904.612000000001"/>
    <n v="37904.612000000001"/>
  </r>
  <r>
    <s v="IBAGUE"/>
    <x v="2"/>
    <x v="2"/>
    <n v="73001"/>
    <s v="TA-25-948867"/>
    <n v="67287"/>
    <s v="ORDEN DE CAMBIO"/>
    <s v="TOLIMA"/>
    <s v="IBAGUE"/>
    <s v="BARRIO PRADERAS DE SANTA RITA"/>
    <s v="REDEBAN"/>
    <s v="FO-25-1353534"/>
    <d v="2025-08-09T16:48:00"/>
    <d v="2025-08-12T09:49:00"/>
    <m/>
    <s v="CIERRE"/>
    <s v="CIERRE"/>
    <s v="CB UNO A UNO"/>
    <s v="CB UNO A UNO"/>
    <s v="NO_EXITOSO"/>
    <s v="CB NO ENTREGA EQUIPO"/>
    <s v="0_x000a_ 0_x000a_ 12-08-2025 SE LLEGA ALA DIRECCIÓN INDICADA EVIDENCIA QUE ESTÁ CERRADO SE COMUNICA TELEFÓNICAMENTE,CON LA SEÑORITA MARIA DE LOS MILAGROS LOZANO AL TELÉFONO 3154255999 QUIEN MANIFIESTA QUE NO SOLICITO CIERRE ELLA SOLICITO ES UN TRASLADO,SE ESTARÁ COMUNICANDO CON LA ASERSOR(A)DE LA ENTIDAD ,PARA VALIDAR EL POR QUÉ DEL CIERRE _x000a_USUARIO NO PERMITE EL CIERRE "/>
    <s v="VISITA_TÉCNICA"/>
    <n v="0"/>
    <s v="TIPO I"/>
    <s v="TERRESTRE"/>
    <s v="GUTIERREZ  CAMILO ANDRES"/>
    <n v="1"/>
    <n v="44559.563999999998"/>
    <n v="44559.563999999998"/>
  </r>
  <r>
    <s v="PASTO"/>
    <x v="1"/>
    <x v="1"/>
    <n v="52203"/>
    <s v="TA-25-941578"/>
    <n v="49060"/>
    <s v="ORDEN DE CAMBIO"/>
    <s v="NARIÑO"/>
    <s v="COLON"/>
    <s v="BARRIO LA MILAGROSA CORR DE VI"/>
    <s v="REDEBAN"/>
    <s v="FO-25-1345190"/>
    <d v="2025-08-06T17:22:00"/>
    <d v="2025-08-12T10:09:00"/>
    <m/>
    <s v="CIERRE"/>
    <s v="CIERRE"/>
    <s v="CB UNO A UNO"/>
    <s v="CB UNO A UNO"/>
    <s v="NO_EXITOSO"/>
    <s v="CB NO ENTREGA EQUIPO"/>
    <s v="0_x000a_ 0_x000a_ 12-08-2025 SE HABLA CON LA SEÑORA MARIA, QUIEN INDICA QUE ELLA TIENE LOS EQUIPOS PAR ENTREGAR PERO NO ESTA EN LA VEREDA, INDICA QUE ELLA ESTARA LA PROXIMA SEMANA EN LA CIUDAD  DE PASTO Y SE CONTACTARA CON NOSOTROS PARA LA ENTREGA, SE PROCEDE A CERRAR VISITA POR VENCIMIENTO A LA ESPERA DE CONTACTO DEL CLIENTE PARA GESTIONAR NUEVO CIERRE."/>
    <s v="SOPORTE_TELEFÓNICO"/>
    <n v="0"/>
    <s v="TIPO IV"/>
    <s v="TERRESTRE"/>
    <s v="HENAO CARDONA DIEGO FERNANDO"/>
    <n v="0"/>
    <n v="37904.612000000001"/>
    <n v="37904.612000000001"/>
  </r>
  <r>
    <s v="PASTO"/>
    <x v="1"/>
    <x v="1"/>
    <n v="52323"/>
    <s v="TA-25-941591"/>
    <n v="45928"/>
    <s v="ORDEN DE CAMBIO"/>
    <s v="NARIÑO"/>
    <s v="GUALMATAN"/>
    <s v="PTM  GUALMATAN  PUNTOSERVIS GU"/>
    <s v="REDEBAN"/>
    <s v="FO-25-1345223"/>
    <d v="2025-08-06T17:18:00"/>
    <d v="2025-08-12T10:17:00"/>
    <m/>
    <s v="CIERRE"/>
    <s v="CIERRE"/>
    <s v="AGREGADOR"/>
    <s v="COMCARD - PTM"/>
    <s v="NO_EXITOSO"/>
    <s v="CB NO ENTREGA EQUIPO"/>
    <s v="0_x000a_ 0_x000a_ 12-08-2025 SE REALIZA LLAMADA CONTESTA UNA PERSONA QUE SE NIEGA A DAR EL NOMBRE, SE LE INDICA QUE ES PARA EL CIERRE DEL CORRESPONSAL , INDICA QUE YA NO TIENE CONTACTO NI NADA QUE VER CON EL, QUE ESO SE CERRO HACE MUCHO, Y SEGUN ELLA TODO FUE DEVUELTO, NO NOS ENTREGA MAS INFORMACION, SE LE SOLICITA OTRO NUMERO DE CONTACTO NO NOS LO SUMINISTRA,  SE LE PREGUNTA SI HAY EXISTE EL LOCAL EN EL MUNICIPIO INDICA QUE NO, SE CIERRE EL CASO."/>
    <s v="SOPORTE_TELEFÓNICO"/>
    <n v="0"/>
    <s v="TIPO II"/>
    <s v="TERRESTRE"/>
    <s v="HENAO CARDONA DIEGO FERNANDO"/>
    <n v="0"/>
    <n v="37904.612000000001"/>
    <n v="37904.612000000001"/>
  </r>
  <r>
    <s v="CALI"/>
    <x v="1"/>
    <x v="1"/>
    <n v="76834"/>
    <s v="TA-25-948872"/>
    <n v="76243"/>
    <s v="ORDEN DE CAMBIO"/>
    <s v="VALLE DEL CAUCA"/>
    <s v="TULUA"/>
    <s v="BARRIO EL CENTRO TULUA 1"/>
    <s v="REDEBAN"/>
    <s v="FO-25-1353543"/>
    <d v="2025-08-09T16:48:00"/>
    <d v="2025-08-12T11:16:00"/>
    <m/>
    <s v="CIERRE"/>
    <s v="CIERRE"/>
    <s v="CB UNO A UNO"/>
    <s v="CB UNO A UNO"/>
    <s v="ILOCALIZADO"/>
    <s v="CB CERRADO - DESOCUPADO"/>
    <s v="0_x000a_ 0_x000a_ 12-08-2025 SE VISITÓ Y SE ENCONTRÓ LOCAL CERRADO. SE LLAMA AL CONTACTO EN REPETIDAS OCASIONES  Y NO CONTESTA. "/>
    <s v="VISITA_TÉCNICA"/>
    <s v="A40NZ752"/>
    <s v="TIPO II"/>
    <s v="TERRESTRE"/>
    <s v="BOLAÑOS TABORDA JORGE ENRIQUE"/>
    <n v="1"/>
    <n v="134410.88400000002"/>
    <n v="134410.88400000002"/>
  </r>
  <r>
    <s v="MONTERIA"/>
    <x v="5"/>
    <x v="5"/>
    <n v="23001"/>
    <s v="TA-25-948859"/>
    <n v="78090"/>
    <s v="ORDEN DE CAMBIO"/>
    <s v="CORDOBA"/>
    <s v="MONTERIA"/>
    <s v="BARRIO URBANIZACION VALLEJO MONTERIA 8"/>
    <s v="REDEBAN"/>
    <s v="FO-25-1353504"/>
    <d v="2025-08-09T16:48:00"/>
    <d v="2025-08-12T12:04:00"/>
    <m/>
    <s v="CIERRE"/>
    <s v="CIERRE"/>
    <s v="CB UNO A UNO"/>
    <s v="CB UNO A UNO"/>
    <s v="NO_EXITOSO"/>
    <s v="CB NO ENTREGA EQUIPO"/>
    <s v="0_x000a_ 0_x000a_ 12-08-2025 VISITA FALLIDA, LA PERSONA EN SITIO NO TIENE AUTORIZACIÓN DE ENTREGAR LOS EQUIPOS.CLIENTE NO LOGRA COMUNICARSE CON EL PROPIETARIO PARA LE DE EL AVAL DEL CIERRE "/>
    <s v="VISITA_TÉCNICA"/>
    <n v="0"/>
    <s v="TIPO I"/>
    <s v="TERRESTRE"/>
    <s v="CALDERA SALCEDO CARLOS JULIO"/>
    <n v="1"/>
    <n v="44559.563999999998"/>
    <n v="44559.563999999998"/>
  </r>
  <r>
    <s v="BOGOTA"/>
    <x v="3"/>
    <x v="3"/>
    <n v="11001"/>
    <s v="TA-25-963282"/>
    <n v="78672"/>
    <s v="ORDEN DE CAMBIO"/>
    <s v="CUNDINAMARCA"/>
    <s v="BOGOTA"/>
    <s v="PTM BOGOTA COMERCIALIZADORA Y"/>
    <s v="REDEBAN"/>
    <s v="FO-25-1365303"/>
    <d v="2025-08-12T11:14:00"/>
    <d v="2025-08-12T13:46:00"/>
    <m/>
    <s v="CIERRE"/>
    <s v="CAMBIO DE RAZÓN SOCIAL"/>
    <s v="AGREGADOR"/>
    <s v="COMCARD - PTM"/>
    <s v="NO_EXITOSO"/>
    <s v="CB NO ENTREGA EQUIPO"/>
    <s v="0_x000a_ 0_x000a_ 12-08-2025 SE VISITA COMERCIO POR CIERRE DE PUNTO POR CAMBIO DE RAZÓN  SOCIAL YA QUE SE INSTALA CB 80935. PERO EN MEDIO DE LA INSTALACIÓN ENTIDAD BANCARIA NO AUTORIZA EL PROCESO DE APERTURA Y SOLICITA RECOGER EQUIPOS DE DICHO CAMBIO DE RAZÓN SOCIAL POR ENDE LA CLIENTE YA NO REALIZARÁ ENTREGA DEL CB MIENTRAS RECIBE RESPUESTA DEL NUEVO CB Y SE COMPLETA CIERRE SIN MÁS NOVEDAD"/>
    <s v="VISITA_TÉCNICA"/>
    <s v="10RZZ176;10RZZ139"/>
    <s v="TIPO I"/>
    <s v="TERRESTRE"/>
    <s v="ROMERO ROJAS BREIDY JHOHAN"/>
    <n v="1"/>
    <n v="44559.563999999998"/>
    <n v="44559.563999999998"/>
  </r>
  <r>
    <s v="TUNJA"/>
    <x v="4"/>
    <x v="4"/>
    <n v="15272"/>
    <s v="TA-25-922763"/>
    <n v="12066"/>
    <s v="ORDEN DE CAMBIO"/>
    <s v="BOYACA"/>
    <s v="FIRAVITOBA"/>
    <s v="FIRAVITOBA - BOYACA"/>
    <s v="REDEBAN"/>
    <s v="FO-25-1331390"/>
    <d v="2025-08-05T11:41:00"/>
    <d v="2025-08-13T08:00:00"/>
    <m/>
    <s v="CIERRE"/>
    <s v="RECUPERACION DE EQUIPOS"/>
    <s v="CB UNO A UNO"/>
    <s v="CB UNO A UNO"/>
    <s v="NO_EXITOSO"/>
    <s v="PARCIAL EXITOSO PTE. DATAFONO"/>
    <s v="0_x000a_ 12/08/2025 SE RECIBE FO YA RECHAZADO POR CENTRO DE GESTIÓN EN EL FO CONTROL DE VISITA_x000a_ 12-08-2025 SE HACE PRESENCIA EN EL PUNTO Y SE IDENTIFICA QUE EL COMERCIO NO TIENE INTENCIÓN DE RETIRO. SE VERIFICA QUE CUENTA CON EL INVENTARIO COMPLETO SOLICITADO CON REDEBAN._x000a__x000a_SE PROCEDE A EJECUTAR EL PROCESO DE LEGALIZACIÓN DE ACTIVOS, YA QUE LA LECTORA CON SERIAL 805654 PERTENECE AL PUNTO VISITADO, AUNQUE FUE RETIRADA PREVIAMENTE EN EL CB: 3007046009 - PTM LA BELLEZA ACEITES Y LUB, CON LA TA: 25-899497._x000a__x000a_DE ACUERDO CON LA INFORMACIÓN SUMINISTRADA POR REDEBAN, SE DEJA EL ACTIVO LEGALIZADO EN EL PUNTO ACTUAL."/>
    <s v="VISITA_TÉCNICA"/>
    <n v="0"/>
    <s v="TIPO II"/>
    <s v="TERRESTRE"/>
    <s v="ALVARADO MORENO CRISTHIAN"/>
    <n v="1"/>
    <n v="134410.88400000002"/>
    <n v="134410.88400000002"/>
  </r>
  <r>
    <s v="NEIVA"/>
    <x v="2"/>
    <x v="2"/>
    <n v="41551"/>
    <s v="TA-25-948863"/>
    <n v="33477"/>
    <s v="ORDEN DE CAMBIO"/>
    <s v="HUILA"/>
    <s v="PITALITO"/>
    <s v="BARRIO CENTRO PITALITO 1"/>
    <s v="REDEBAN"/>
    <s v="FO-25-1353520"/>
    <d v="2025-08-09T16:48:00"/>
    <d v="2025-08-13T12:10:00"/>
    <m/>
    <s v="CIERRE"/>
    <s v="CIERRE"/>
    <s v="CB UNO A UNO"/>
    <s v="CB UNO A UNO"/>
    <s v="NO_EXITOSO"/>
    <s v="CB NO ENTREGA EQUIPO"/>
    <s v="0_x000a_ 0_x000a_ 13-08-2025 SE REALIZA VISITA AL PUNTO, PERSONA ENCARGADA INDICA QUE NO ESTA TIENE CONTACTO CON EL TITULAR E INDICA QUE ESOS EQUIPOS YA FUERON RETIRADOS DE ESA DIRECCION . "/>
    <s v="VISITA_TÉCNICA"/>
    <s v="NONE"/>
    <s v="TIPO III"/>
    <s v="TERRESTRE"/>
    <s v="DEVIA REINOSO JUAN CARLOS"/>
    <n v="1"/>
    <n v="222904.07200000001"/>
    <n v="222904.07200000001"/>
  </r>
  <r>
    <s v="VILLAVICENCIO"/>
    <x v="2"/>
    <x v="2"/>
    <n v="50001"/>
    <s v="TA-25-941579"/>
    <n v="76622"/>
    <s v="ORDEN DE CAMBIO"/>
    <s v="META"/>
    <s v="VILLAVICENCIO"/>
    <s v="BARRIO CATUMARE VILLAVICENCIO 1"/>
    <s v="REDEBAN"/>
    <s v="FO-25-1345194"/>
    <d v="2025-08-06T17:22:00"/>
    <d v="2025-08-13T13:57:00"/>
    <m/>
    <s v="CIERRE"/>
    <s v="CIERRE"/>
    <s v="CB UNO A UNO"/>
    <s v="CB UNO A UNO"/>
    <s v="ILOCALIZADO"/>
    <s v="CB CERRADO - DESOCUPADO"/>
    <s v="0_x000a_ 0_x000a_ 13-08-2025 SE VISITA DIRECCIÓN DE COMERCIO PERO LA LLEGAR AL SITIO EL COMERCIO MO EXISTE..VECINOS INFORMAN QUE LA DOREGURIA LA QUITARON HCE VARIAS SEMANAS. SE LLAMA AL NÚMERO PERO PSA. A BUZÓN DE VOZ. NO ES POSIBLE CONTACTAR AL CLIENTE "/>
    <s v="VISITA_TÉCNICA"/>
    <n v="0"/>
    <s v="TIPO I"/>
    <s v="TERRESTRE"/>
    <s v="GARZON RUIZ LUIS MIGUEL"/>
    <n v="1"/>
    <n v="44559.563999999998"/>
    <n v="44559.563999999998"/>
  </r>
  <r>
    <s v="MEDELLIN"/>
    <x v="0"/>
    <x v="0"/>
    <n v="5440"/>
    <s v="TA-25-948846"/>
    <n v="78230"/>
    <s v="ORDEN DE CAMBIO"/>
    <s v="ANTIOQUIA"/>
    <s v="MARINILLA"/>
    <s v="DISTRICOL PAPELERIA Y REMATES"/>
    <s v="REDEBAN"/>
    <s v="FO-25-1353462"/>
    <d v="2025-08-09T16:47:00"/>
    <d v="2025-08-14T10:35:00"/>
    <m/>
    <s v="CIERRE"/>
    <s v="CIERRE"/>
    <s v="AGREGADOR"/>
    <s v="DISTRICOL"/>
    <s v="NO_EXITOSO"/>
    <s v="CB NO ENTREGA EQUIPO"/>
    <s v="0_x000a_ 0_x000a_ 14-08-2025 SE VISITÓ CORRESPONSAL LA SEÑORA LILIANA NOS INFORMA QUE PERSONAL DE DISTRICOL RECOGÍO EL EQUIPO "/>
    <s v="VISITA_TÉCNICA"/>
    <n v="0"/>
    <s v="TIPO II"/>
    <s v="TERRESTRE"/>
    <s v="CASTAÑEDA PALACIO CARLOS FELIPE"/>
    <n v="1"/>
    <n v="134410.88400000002"/>
    <n v="134410.88400000002"/>
  </r>
  <r>
    <s v="IBAGUE"/>
    <x v="2"/>
    <x v="2"/>
    <n v="73001"/>
    <s v="TA-25-941593"/>
    <n v="60446"/>
    <s v="ORDEN DE CAMBIO"/>
    <s v="TOLIMA"/>
    <s v="IBAGUE"/>
    <s v="PTM IBAGUE PAPELERIA NELLA"/>
    <s v="REDEBAN"/>
    <s v="FO-25-1345226"/>
    <d v="2025-08-06T17:18:00"/>
    <d v="2025-08-14T13:48:00"/>
    <m/>
    <s v="CIERRE"/>
    <s v="CIERRE"/>
    <s v="AGREGADOR"/>
    <s v="COMCARD - PTM"/>
    <s v="ILOCALIZADO"/>
    <s v="SIN CONTACTO CON EL CB"/>
    <s v="0_x000a_ 0_x000a_ 14-08-2025 SE LLAMA A LA SEÑORA ALEXANDRA BOCANEGRA, AL NÚMERO 3152871429 Y NO CONTESTA. SE ESCRIBE POR WHATSAPP AL MISMO NÚMERO 3152871429, SIN ENCONTRAR RESPUESTA, LE LLEGA LOS MENSAJES PERO NO LOS VE. LA DIRECCIÓN ESTÁ POR MANZANA Y NÚMERO DE CASA, PERO NO APARECE EL NOMBRE DEL BARRIO. SE AVERIGUA POR LA WEB CON NÚMERO DE PLACA Y TERMINAL, PARA SABER EL NOMBRE DEL BARRIO, PERO NO APARECE Y ES UN CORRESPONSAL MIXTO."/>
    <s v="SOPORTE_TELEFÓNICO"/>
    <n v="0"/>
    <s v="TIPO I"/>
    <s v="TERRESTRE"/>
    <s v="VARGAS HERRERA JHON JAIRO"/>
    <n v="0"/>
    <n v="0"/>
    <n v="0"/>
  </r>
  <r>
    <s v="NEIVA"/>
    <x v="2"/>
    <x v="2"/>
    <n v="41001"/>
    <s v="TA-25-962678"/>
    <n v="78548"/>
    <s v="ORDEN DE CAMBIO"/>
    <s v="HUILA"/>
    <s v="NEIVA"/>
    <s v="BARRIO MONSERRATE NEIVA  1"/>
    <s v="REDEBAN"/>
    <s v="FO-25-1369308"/>
    <d v="2025-08-12T08:00:00"/>
    <d v="2025-08-14T15:48:00"/>
    <m/>
    <s v="CIERRE"/>
    <s v="CIERRE"/>
    <s v="CB UNO A UNO"/>
    <s v="CB UNO A UNO"/>
    <s v="EJECUTADO_EXITOSO"/>
    <s v="CIERRE EXITOSO"/>
    <s v="0_x000a_ 0_x000a_ 12-08-2025 SE LLEGA A SITIO, NO SE ENCUENTRA NADIE EN COMERCIO, SE LLAMAN AL NÚMERO 3182375307 Y EN COMUNICACIÓN CON EL SEÑOR JOHN FREDY TIMOTE PERDOMO SOLICITA REALIZAR VISITA EL DÍA DE MAÑANA DESPUÉS DE LAS 4:30._x000a_ 13/08/2025 EN LLAMADA CON CLIENTE JOHN FREDY TIMOTE PERDOMO AL NÚMERO 3182375307 SOLICITA REALIZAR VISITA EL DÍA DE MAÑANA._x000a_ 14-08-2025 SE LLEGA A SITIO, SE RECOGE DATAFONO Y LECTOR DE BARRAS."/>
    <s v="VISITA_TÉCNICA"/>
    <s v="F1LZZ956"/>
    <s v="TIPO I"/>
    <s v="TERRESTRE"/>
    <s v="DIAZ VARGAS JONATHAN MIGUEL"/>
    <n v="1"/>
    <n v="44559.563999999998"/>
    <n v="44559.563999999998"/>
  </r>
  <r>
    <s v="CALI"/>
    <x v="1"/>
    <x v="1"/>
    <n v="76001"/>
    <s v="TA-25-973870"/>
    <n v="76363"/>
    <s v="ORDEN DE CAMBIO"/>
    <s v="VALLE DEL CAUCA"/>
    <s v="CALI"/>
    <s v="BARRIO UNICENTRO CALI CALI"/>
    <s v="REDEBAN"/>
    <s v="FO-25-1375884"/>
    <d v="2025-08-14T11:30:00"/>
    <d v="2025-08-15T08:14:00"/>
    <m/>
    <s v="CIERRE"/>
    <s v="CIERRE"/>
    <s v="CB UNO A UNO"/>
    <s v="CB UNO A UNO"/>
    <s v="ILOCALIZADO"/>
    <s v="CB CERRADO - DESOCUPADO"/>
    <s v="0_x000a_ 0_x000a_ 14-08-2025 SE VISITA EL COMERCIO SE ENCUENTRA CERRADO, SE PREGUNTA A LOS VECINOS CERCANOS INFORMA QUE SE FUERON HACE 8 DÍAS, SE LLAMA AL CLIENTE AL NÚMERO 3155157165 ESTA APAGADO SE VA A BUZÓN, LA VISITA ES FALLIDA, CIERRE NO EXISITOSO "/>
    <s v="VISITA_TÉCNICA"/>
    <s v="A10RZ460"/>
    <s v="TIPO I"/>
    <s v="TERRESTRE"/>
    <s v="HERRERA MONAR GEOVANNY"/>
    <n v="1"/>
    <n v="44559.563999999998"/>
    <n v="44559.563999999998"/>
  </r>
  <r>
    <s v="VALLEDUPAR"/>
    <x v="5"/>
    <x v="5"/>
    <n v="20787"/>
    <s v="TA-25-948858"/>
    <n v="76650"/>
    <s v="ORDEN DE CAMBIO"/>
    <s v="CESAR"/>
    <s v="TAMALAMEQUE"/>
    <s v="BARRIO FLORES DE SABANA TAMALAMEQUE"/>
    <s v="REDEBAN"/>
    <s v="FO-25-1353501"/>
    <d v="2025-08-09T16:48:00"/>
    <d v="2025-08-15T08:19:00"/>
    <m/>
    <s v="CIERRE"/>
    <s v="CIERRE"/>
    <s v="CB UNO A UNO"/>
    <s v="CB UNO A UNO"/>
    <s v="NO_EXITOSO"/>
    <s v="CB NO ENTREGA EQUIPO"/>
    <s v="0_x000a_ 0_x000a_ 14-08-2025 SE COMUNICA CON LA SEÑORA BILIVAL CALLE, LA CUAL INDICAN QUE EL CB SE ENCUENTRA A SU NOMBRE PERO QUE LA PERSONA ENCARGADA DEL CB TRASLADO DE MANERA INFORMAL EL CB PARA SANTA ROSA DEL SUR DE BOLIVAR, Y DICHA PERSONA NO TIENE INTENCIONES DE ENTREGAR LOS EQUIPOS, LA SEÑORA MANIFIESTA QUE VA A TRATAR DE SOLUCIONAR LA SITUACIÓNA PARA QUE ESA PERSONA ENTREGUE LOS EQUIPOS"/>
    <s v="SOPORTE_TELEFÓNICO"/>
    <n v="0"/>
    <s v="TIPO IV"/>
    <s v="TERRESTRE"/>
    <s v="MONTES DIAZ JOHN FRED"/>
    <n v="0"/>
    <n v="37904.612000000001"/>
    <n v="37904.612000000001"/>
  </r>
  <r>
    <s v="MEDELLIN"/>
    <x v="0"/>
    <x v="0"/>
    <n v="5308"/>
    <s v="TA-25-948855"/>
    <n v="29502"/>
    <s v="ORDEN DE CAMBIO"/>
    <s v="ANTIOQUIA"/>
    <s v="GIRARDOTA"/>
    <s v="BARRIO 0 GIRARDOTA"/>
    <s v="REDEBAN"/>
    <s v="FO-25-1353491"/>
    <d v="2025-08-09T16:48:00"/>
    <d v="2025-08-15T12:18:00"/>
    <m/>
    <s v="CIERRE"/>
    <s v="CIERRE"/>
    <s v="CB UNO A UNO"/>
    <s v="CB UNO A UNO"/>
    <s v="SOLICITUD_CANCELADA"/>
    <s v="CANCELADO POR LA ENTIDAD"/>
    <s v="0_x000a_ 0_x000a_ 15-08-2025 SE COMUNICA CON EL USUARIO PARA RECLAMAR LOS EQUIPOS DEL CORRESPONSAL BANCARIO, E INDICA QUE EN MOMENTO NO SE ENCUENTRA EN SITIO Y NO SABE CON EXACTITUD CUANDO ESTÉ DE REGRESO "/>
    <s v="SOPORTE_TELEFÓNICO"/>
    <n v="0"/>
    <s v="TIPO I"/>
    <s v="TERRESTRE"/>
    <s v="ZAPATA LOPEZ EDWARD ASDRUBAL"/>
    <n v="0"/>
    <n v="37904.612000000001"/>
    <n v="37904.612000000001"/>
  </r>
  <r>
    <s v="CUCUTA"/>
    <x v="4"/>
    <x v="4"/>
    <n v="54001"/>
    <s v="TA-25-972854"/>
    <n v="79630"/>
    <s v="ORDEN DE CAMBIO"/>
    <s v="NORTE DE SANTANDER"/>
    <s v="CUCUTA"/>
    <s v="BARRIO LATINO CUCUTA 20"/>
    <s v="REDEBAN"/>
    <s v="FO-25-1373985"/>
    <d v="2025-08-14T08:07:00"/>
    <d v="2025-08-15T15:22:00"/>
    <m/>
    <s v="CIERRE"/>
    <s v="CIERRE"/>
    <s v="CB UNO A UNO"/>
    <s v="CB UNO A UNO"/>
    <s v="ILOCALIZADO"/>
    <s v="CB CERRADO - DESOCUPADO"/>
    <s v="0_x000a_ 0_x000a_ 15-08-2025 SE REALIZÓ VISITA A LA DIRECCIÓN ASIGNADA Y SE ENCUENTRA QUE YA NO EXISTE EL COMERCIO, SE REALIZAN LLAMADAS TELEFÓNICA AL NÚMERO ASIGNADO Y SE NO SE OBTIENE RESPUESTA "/>
    <s v="VISITA_TÉCNICA"/>
    <n v="0"/>
    <s v="TIPO I"/>
    <s v="TERRESTRE"/>
    <s v="MORA VEGA JEAMPIER"/>
    <n v="1"/>
    <n v="44559.563999999998"/>
    <n v="44559.563999999998"/>
  </r>
  <r>
    <s v="MONTERIA"/>
    <x v="5"/>
    <x v="5"/>
    <n v="23068"/>
    <s v="LC-CS-25-000028"/>
    <n v="72855"/>
    <s v="ORDEN DE CAMBIO"/>
    <s v="CORDOBA"/>
    <s v="AYAPEL"/>
    <s v="SANTA ANA AYAPEL"/>
    <s v="REDEBAN"/>
    <s v="FO-25-1380888"/>
    <d v="2025-08-15T12:40:00"/>
    <d v="2025-08-15T15:43:00"/>
    <m/>
    <s v="CIERRE"/>
    <s v="CIERRE"/>
    <s v="CB UNO A UNO"/>
    <s v="CB UNO A UNO"/>
    <s v="NO_EXITOSO"/>
    <s v="CB NO ENTREGA EQUIPO"/>
    <s v="0_x000a_ 0_x000a_ 15-08-2025 SE LLEGÓ A SITIO Y LA SEÑORA MARIBEL CASTRO INFORMA QUE ELLA COMPENSÓ HACE UN MES APROXIMADAMENTE Y LE INFORMO AL BANCO QUÉ IBA A REALIZAR UNA REMODELACIÓN QUE TARDABA VARIOS DÍAS, POR TAL MOTIVO NO PERMITIÓ EL CIERRE Y QUIERE QUE EL BANCO LE ACTIVE EL CB PORQUE YA ESTÁ NUEVAMENTE EN OPERACIÓN EL LOCAL COMERCIAL, SE LE INFORMA QUE DEBE LLAMAR A LA LÍNEA DE ATENCIÓN 018000853344."/>
    <s v="VISITA_TÉCNICA"/>
    <n v="0"/>
    <s v="TIPO III"/>
    <s v="TERRESTRE"/>
    <s v="CALDERA SALCEDO CARLOS JULIO"/>
    <n v="1"/>
    <n v="222904.07200000001"/>
    <n v="222904.07200000001"/>
  </r>
  <r>
    <s v="PASTO"/>
    <x v="1"/>
    <x v="1"/>
    <n v="52427"/>
    <s v="TA-25-941590"/>
    <n v="41473"/>
    <s v="ORDEN DE CAMBIO"/>
    <s v="NARIÑO"/>
    <s v="MAGUI"/>
    <s v="PTM MAGUI DROGAS LA PLAYITA"/>
    <s v="REDEBAN"/>
    <s v="FO-25-1345220"/>
    <d v="2025-08-06T17:18:00"/>
    <d v="2025-08-16T08:41:00"/>
    <m/>
    <s v="CIERRE"/>
    <s v="CIERRE"/>
    <s v="AGREGADOR"/>
    <s v="COMCARD - PTM"/>
    <s v="ILOCALIZADO"/>
    <s v="CB CERRADO - DESOCUPADO"/>
    <s v="0_x000a_ 14/08/2025 SE REALIZA DESPLAZAMIENTO PERO COMO ES ZONA REMOTA Y DE DIFÍCIL ACCESO NO SE LLEGA A SITIO..._x000a_ 16-08-2025 SE REALIZA BÚSQUEDA DEL COMERCIO PERO NO SE LOGRA ENCONTRAR, SE LLAMA AL CLIENTE Y NO SE OBTIENE RESPUESTA EN EL NÚMERO SUMINISTRADO, SE AVERIGUA CON GENTE DEL LUGAR Y INFORMAN QUE SE ENCUENTRA DE VIAJE POR LO CUAL NO SE PUEDE HACER EL CIERRE... "/>
    <s v="VISITA_TÉCNICA"/>
    <n v="0"/>
    <s v="TIPO IV ESPECIAL"/>
    <s v="FLUVIAL"/>
    <s v="PAZ MARTINEZ RICHARD HUMBERTO"/>
    <n v="1"/>
    <n v="464809.36800000002"/>
    <n v="464809.36800000002"/>
  </r>
  <r>
    <s v="BUCARAMANGA"/>
    <x v="4"/>
    <x v="4"/>
    <n v="68307"/>
    <s v="TA-25-973867"/>
    <n v="63099"/>
    <s v="ORDEN DE CAMBIO"/>
    <s v="SANTANDER"/>
    <s v="GIRON"/>
    <s v="BARRIO SAN ANTONIO DE CARRIZAL"/>
    <s v="REDEBAN"/>
    <s v="FO-25-1375874"/>
    <d v="2025-08-14T11:30:00"/>
    <d v="2025-08-16T09:27:00"/>
    <m/>
    <s v="CIERRE"/>
    <s v="CIERRE"/>
    <s v="CB UNO A UNO"/>
    <s v="CB UNO A UNO"/>
    <s v="NO_EXITOSO"/>
    <s v="CB NO ENTREGA EQUIPO"/>
    <s v="0_x000a_ 14/08/2025 EN COMUNICACIÓN CON LA SEÑORA KELLY BARRETO AL MOVIL 3123865977, INDICA QUE EL BANCO NO LE HAN INFORMADO DE ESTO Y ELLA NO PUEDE REALIZAR LA ENTREGA DE ESTOS EQUIPOS PORQUE NO LE HAN INFORMADO, INDICA QUE PRIMERO VA HABLAR CON EL  BANCO Y NOS DARÁ UNA RESPUESTA SOBRE ESTA ORDEN. | 15/08/2025 EN COMUNICACIÓN CON LA SEÑORA KELLY BARRETO AL MOVIL 3123865977, INDICA QUE HASTA EL MOMENTO EL BANCO NO LE HA DADO RESPUESTA, INDICA QUE NOS COMUNIQUEMOS NUEVAMENTE EL DÍA DE MAÑANA PARA CONFIRMAR._x000a_ 16-08-2025 EN COMUNICACIÓN CON LA SEÑORA KELLY BARRETO AL MOVIL 3123865977,INDICA QUE ELLA NO VA ENTREGAR LOS EQUIPOS AÚN, INDICA QUE YA SE COMUNICO CON LA ENTIDAD LA CUAL LE INFORMO QUE AÚN NO LE HAN DADO RESPUESTA DEBIDO A QUE NO HAY GESTOR EN SU LOCALIDAD Y YA GENERÓ UN RADICADO, CLIENTE SOLICITA CANCELAR VISITA, SE LE INFORMA QUE SE PROCEDERÁ A CANCELAR LA VISITA Y SI NO HAY UNA RESPUESTA POSITIVA POR PARTE DE LA ENTIDAD DEBERÁ LLAMAR Y SOLICITAR UNA ORDEN DE RECOGIDA DE EQUIPOS NUEVAMENTE. "/>
    <s v="SOPORTE_TELEFÓNICO"/>
    <n v="0"/>
    <s v="TIPO I"/>
    <s v="TERRESTRE"/>
    <s v="SANTOS GONZALEZ JOHAN FABIAN"/>
    <n v="0"/>
    <n v="37904.612000000001"/>
    <n v="37904.612000000001"/>
  </r>
  <r>
    <s v="CUCUTA"/>
    <x v="4"/>
    <x v="4"/>
    <n v="54001"/>
    <s v="LC-CS-25-000012"/>
    <n v="71022"/>
    <s v="ORDEN DE CAMBIO"/>
    <s v="NORTE DE SANTANDER"/>
    <s v="CUCUTA"/>
    <s v="DISTRICOL CENTROPAG"/>
    <s v="REDEBAN"/>
    <s v="FO-25-1380519"/>
    <d v="2025-08-15T11:36:00"/>
    <d v="2025-08-16T09:55:00"/>
    <m/>
    <s v="CIERRE"/>
    <s v="RECUPERACION DE EQUIPOS"/>
    <s v="AGREGADOR"/>
    <s v="DISTRICOL"/>
    <s v="ILOCALIZADO"/>
    <s v="CB CERRADO - DESOCUPADO"/>
    <s v="0_x000a_ 0_x000a_ 16-08-2025 SE REALIZÓ VISITA A LA DIRECCIÓN ASIGNADA Y SE ENCUENTRA LOCAL CERRADO, SE REALIZARON LLAMADAS TELEFÓNICA AL NÚMERO ASIGNADO Y NO SE OBTIENE COMUNICACIÓN, SIN COMUNICACIÓN "/>
    <s v="VISITA_TÉCNICA"/>
    <n v="0"/>
    <s v="TIPO I"/>
    <s v="TERRESTRE"/>
    <s v="MORA VEGA JEAMPIER"/>
    <n v="1"/>
    <n v="44559.563999999998"/>
    <n v="44559.563999999998"/>
  </r>
  <r>
    <s v="VILLAVICENCIO"/>
    <x v="2"/>
    <x v="2"/>
    <n v="85440"/>
    <s v="LC-CS-25-000040"/>
    <n v="34510"/>
    <s v="ORDEN DE CAMBIO"/>
    <s v="CASANARE"/>
    <s v="VILLANUEVA"/>
    <s v="BARRIO FUNDADORES VILLANUEVA"/>
    <s v="REDEBAN"/>
    <s v="FO-25-1384541"/>
    <d v="2025-08-15T12:40:00"/>
    <d v="2025-08-16T11:10:00"/>
    <m/>
    <s v="CIERRE"/>
    <s v="CIERRE"/>
    <s v="CB UNO A UNO"/>
    <s v="CB UNO A UNO"/>
    <s v="NO_EXITOSO"/>
    <s v="CB NO ENTREGA EQUIPO"/>
    <s v="15/08/2025 SE INTENTA COMUNICACIÓN AL NÚMERO 3125533335 SUENA PERO NO HAY CONTACTO, SE INTENTARÁ NUEVAMENTE | 16/08/2025 SE CONTACTA AL SEÑOR YAMIT VARGAS E INFORMA QUE NO ESTÁ EN EL MUNICIPIO QUE SOLO PUEDE DE LUNES A VIERNES QUE NO SEA FESTIVO SE VALIDA CON JEFE DE ZONA"/>
    <s v="SOPORTE_TELEFÓNICO"/>
    <n v="0"/>
    <s v="TIPO III"/>
    <s v="TERRESTRE"/>
    <s v="ROZO JIMENEZ EDGAR ARMANDO"/>
    <n v="2"/>
    <n v="37904.612000000001"/>
    <n v="37904.612000000001"/>
  </r>
  <r>
    <s v="BOGOTA"/>
    <x v="3"/>
    <x v="3"/>
    <n v="11001"/>
    <s v="LC-CS-25-000042"/>
    <n v="77003"/>
    <s v="ORDEN DE CAMBIO"/>
    <s v="CUNDINAMARCA"/>
    <s v="BOGOTA"/>
    <s v="BARRIO BOSA SAN BERNARDO BOGOTA 1"/>
    <s v="REDEBAN"/>
    <s v="FO-25-1380912"/>
    <d v="2025-08-15T12:40:00"/>
    <d v="2025-08-16T11:31:00"/>
    <m/>
    <s v="CIERRE"/>
    <s v="CIERRE"/>
    <s v="CB UNO A UNO"/>
    <s v="CB UNO A UNO"/>
    <s v="SOLICITUD_CANCELADA"/>
    <s v="CANCELADO POR LA ENTIDAD"/>
    <s v="0_x000a_ 0_x000a_ 16-08-2025 SE REALIZA VISITA A LA DIRECCIÓN NOS ATIENDE LA SEÑORA SANDRA GELVES LA CUAL LOS INDICA QUE SE ENCUENTRA A LA ESPERA DE RESPUESTA DEL BANCO POR FACTURACIÓN POR ESO NO REALIZA ENTREGA DE LOS EQUIPOS - 22/08/2025 ENTIDAD SOLICITA CANCELAR CIERRE: SOLICITAMOS TU COLABORACIÓN PARA CAMBIAR EL ESTADO DE &quot;NO EXITOSO&quot; A &quot;SOLICITUD CANCELADA&quot;"/>
    <s v="VISITA_TÉCNICA"/>
    <s v="LM5ZZ628"/>
    <s v="TIPO I"/>
    <s v="TERRESTRE"/>
    <s v="HERNANDEZ NARANJO OSCAR EDUARDO"/>
    <n v="1"/>
    <n v="44559.563999999998"/>
    <n v="44559.563999999998"/>
  </r>
  <r>
    <s v="CALI"/>
    <x v="1"/>
    <x v="1"/>
    <n v="76001"/>
    <s v="LC-CS-25-000038"/>
    <n v="67145"/>
    <s v="ORDEN DE CAMBIO"/>
    <s v="VALLE DEL CAUCA"/>
    <s v="CALI"/>
    <s v="BARRIO ANDES CALI"/>
    <s v="REDEBAN"/>
    <s v="FO-25-1380864"/>
    <d v="2025-08-15T12:40:00"/>
    <d v="2025-08-16T12:32:00"/>
    <m/>
    <s v="CIERRE"/>
    <s v="CIERRE"/>
    <s v="CB UNO A UNO"/>
    <s v="CB UNO A UNO"/>
    <s v="NO_EXITOSO"/>
    <s v="CB NO ENTREGA EQUIPO"/>
    <s v="0_x000a_ 0_x000a_ 16-08-2025 EL CLIENTE EXPLICA A TENIDO INCONVENIENTES CON EL PAGO DE LAS COMISIONES MENSUALES, CLIENTE A ESTADO ENVIANDO PUNTUAL LA FACTURA MENSUAL PERO EL BANCO LE RECHAZA LA FACTURA PORQUE TIENE ALGÚN ERROR PERO CLIENTE LLAMO AL BANCO PARA QUE LE EXPLIQUEN DONDE ESTA EL ERROR NO LA SABEN ORIENTAR REVISA EL CORREO NO LE EXPLICAN CUAL ES EL ERROR DE LA FACTURA ENVIADA, LLEVA TRATANDO DE ENVIAR LA FACTURA VARIOS MESES, CLIENTE SIEMPRE HA ESTADO CON LA DISPOSICIÓN DE ENVIAR LA FACTURA HASTA 3 VECES AL MES LA ENVÍA PERO CUANDO LLAMA AL BANCO LE INFORMAN QUE NO PASA EL COBRO NO LE EXPLICAN EL MOTIVO ENVÍA EL CORREO LE DICEN EN LA LÍNEA QUE NO LES A LLEGADO Y REVISA QUE ESTÁ BIEN ENVIADO NO LE CORRIGEN EL ERROR, UNOS MESES SE LO PAGAN OTROS NO SE LOS PAGAN Y SE ENVÍAN DE LA MISMA FORMA EN LA LÍNEA DE ATENCIÓN NO SABE PORQUE PASA UN MES Y EL OTRO NO NO LO PAGAN, EXPLICA QUE ACUMULÓ TRES MESES POR ESE ERROR LA BLOQUEARON POR ELLO Y EL BANCO POR NO ESTAR OPERANDO EL CB POR MÁS DE QUINCE DÍAS, LE ENVÍO UN MENSAJE QUE SE IBA A CERRAR EL CB, CLIENTE ESTÁ INCONFORME CON EL SERVICIO PRESTADO POR LA LÍNEA DE ATENCIÓN NO LE RESOLVIERON LO DEL COBRO DE LAS COMISIONES SI ERA PUNTUAL CON EL ENVÍO MENSUAL DE LA FACTURA, EXPLICA CÓMO ELLA FUE ATENTA CON EL SERVICIO PRESTADO, LAS COMPENSACIONES PUNTALES ASÍ MISMO EXIGE QUE UN FUNCIONARIO DEL BANCO SE PRESENTE PARA QUE LE EXPLIQUEN EL MOTIVO DEL CIERRE O LAS CAUSALES QUE DIERON PARA QUE EL BANCO TOMARA LA DESICIÓN, CLIENTE DICE QUE ARBITRARIAMENTE LE CERRARON EL PUNTO SIN QUE ALGUIEN DEL BANCO SE PERSONALICE DEL CASO, CLIENTE VA ESPERAR QUE LE SOLUCIONEN O DONDE PUEDE HABLAR CON UN FUNCIONARIO O LA VISITEN Y QUE LE EXPLIQUEN LAS CAUSALES QUE EL BANCO TOMARA ESA DESICIÓN Y VA ESPERAR ALGUNA RESPUESTA PARA AUTORIZAR LA ENTREGA DE LOS EQUIPOS"/>
    <s v="VISITA_TÉCNICA"/>
    <n v="0"/>
    <s v="TIPO I"/>
    <s v="TERRESTRE"/>
    <s v="HERRERA MONAR GEOVANNY"/>
    <n v="1"/>
    <n v="44559.563999999998"/>
    <n v="44559.563999999998"/>
  </r>
  <r>
    <s v="MEDELLIN"/>
    <x v="0"/>
    <x v="0"/>
    <n v="5088"/>
    <s v="LC-CS-25-000021"/>
    <n v="36435"/>
    <s v="ORDEN DE CAMBIO"/>
    <s v="ANTIOQUIA"/>
    <s v="BELLO"/>
    <s v="BARRIO PEREZ BELLO 1"/>
    <s v="REDEBAN"/>
    <s v="FO-25-1380875"/>
    <d v="2025-08-15T12:40:00"/>
    <d v="2025-08-17T14:24:00"/>
    <m/>
    <s v="CIERRE"/>
    <s v="CIERRE"/>
    <s v="CB UNO A UNO"/>
    <s v="CB UNO A UNO"/>
    <s v="NO_EXITOSO"/>
    <s v="CB NO ENTREGA EQUIPO"/>
    <s v="0_x000a_ 0_x000a_ 16-08-2025 USUARIO MANIFIESTA QUE SE QUEDÓ SIN TRABAJADORA, SE LE PASO HACER EL REPORTE A BANCOLOMBIA YA QUE NO ESTÁ EN EL PAÍS, PERO VA A SEGUIR OPERANDO EL CB."/>
    <s v="VISITA_TÉCNICA"/>
    <s v="AA00D811"/>
    <s v="TIPO I"/>
    <s v="TERRESTRE"/>
    <s v="RAMIREZ TABARES JUAN DIEGO"/>
    <n v="1"/>
    <n v="44559.563999999998"/>
    <n v="44559.563999999998"/>
  </r>
  <r>
    <s v="PASTO"/>
    <x v="1"/>
    <x v="1"/>
    <n v="86749"/>
    <s v="TA-25-973871"/>
    <n v="76649"/>
    <s v="ORDEN DE CAMBIO"/>
    <s v="PUTUMAYO"/>
    <s v="SIBUNDOY"/>
    <s v="BARRIO COMERCIAL SIBUNDOY 1"/>
    <s v="REDEBAN"/>
    <s v="FO-25-1375888"/>
    <d v="2025-08-14T11:30:00"/>
    <d v="2025-08-19T09:10:00"/>
    <m/>
    <s v="CIERRE"/>
    <s v="CIERRE"/>
    <s v="CB UNO A UNO"/>
    <s v="CB UNO A UNO"/>
    <s v="NO_EXITOSO"/>
    <s v="CB NO ENTREGA EQUIPO"/>
    <s v="0_x000a_ 0_x000a_ 19-08-2025 SE VISITA CB. CLIENTE INFORMA QUE ANTES DE DEVOLVER LOS EQUIPOS NECESITA DEJAR CLARO UN ASUNTO CON EL BANCO Y CON EL ASESOR DE BANCOLOMBIA PERO QUE NO HA PODIDO REALIZAR COMUNICACIÓN CON ELLOS. CLIENTE NO FIRMA"/>
    <s v="VISITA_TÉCNICA"/>
    <s v="LA2ZZ432"/>
    <s v="TIPO III"/>
    <s v="TERRESTRE"/>
    <s v="CASTILLO HERRERA ALEX RICARDO"/>
    <n v="1"/>
    <n v="222904.07200000001"/>
    <n v="222904.07200000001"/>
  </r>
  <r>
    <s v="PASTO"/>
    <x v="1"/>
    <x v="1"/>
    <n v="52051"/>
    <s v="LC-CS-25-000033"/>
    <n v="36250"/>
    <s v="ORDEN DE CAMBIO"/>
    <s v="NARIÑO"/>
    <s v="ARBOLEDA"/>
    <s v="BARRIO CENTRO ARBOLEDA"/>
    <s v="REDEBAN"/>
    <s v="FO-25-1380834"/>
    <d v="2025-08-15T12:40:00"/>
    <d v="2025-08-19T12:08:00"/>
    <m/>
    <s v="CIERRE"/>
    <s v="CIERRE"/>
    <s v="CB UNO A UNO"/>
    <s v="CB UNO A UNO"/>
    <s v="ILOCALIZADO"/>
    <s v="CB CERRADO - DESOCUPADO"/>
    <s v="0_x000a_ 0_x000a_ 19-08-2025 SE VISITA CB. SE ENCUENTRA LOCAL CERRADO, NO SE PUEDE ESTABLECER COMUNICACIÓN TELEFÓNICA CON EL CLIENTE, TELÉFONO APAGADO, VECINOS NO DAN INFORMACIÓN DEL SEÑOR JESÚS "/>
    <s v="VISITA_TÉCNICA"/>
    <s v="A301Z286"/>
    <s v="TIPO II"/>
    <s v="TERRESTRE"/>
    <s v="CASTILLO HERRERA ALEX RICARDO"/>
    <n v="1"/>
    <n v="134410.88400000002"/>
    <n v="134410.88400000002"/>
  </r>
  <r>
    <s v="BUCARAMANGA"/>
    <x v="4"/>
    <x v="4"/>
    <n v="68001"/>
    <s v="LC-CS-25-000061"/>
    <n v="54639"/>
    <s v="ORDEN DE CAMBIO"/>
    <s v="SANTANDER"/>
    <s v="BUCARAMANGA"/>
    <s v="PTM BUCARAMANGA PAPELERIA PAPE"/>
    <s v="REDEBAN"/>
    <s v="FO-25-1396999"/>
    <d v="2025-08-19T14:17:00"/>
    <d v="2025-08-19T16:53:00"/>
    <m/>
    <s v="CIERRE"/>
    <s v="CIERRE"/>
    <s v="AGREGADOR"/>
    <s v="COMCARD - PTM"/>
    <s v="ILOCALIZADO"/>
    <s v="CB CERRADO - DESOCUPADO"/>
    <s v="19/08/2025 EN COMUNICACIÓN CON LA SRA PAULA MARCELA RODRIGUEZ CRUZ  AL NÚMERO 3154913400 NOS INDICA QUE LLEVA DOS MESES MAL DE SALLUD, POR LO CUAL NO HA PODIDO TRABAJAR EN EL CB, REFIERE NO TENER LA FORMA ACTUALMENTE DE ENTREGAR LOS EQUIPOS DEBIDO A SU ESTADO DE SALUD | 19/08/2025 SE HACE PRESENCIA EN COMERCIO SE OBSERVA CERRADO SE TRATA DE CONTACTAR AL CLIENTE AL NÚMERO 3186488209 NO SE OBTIENE RESPUESTA SE VALIDE QUE EL NÚMERO DE CONTACTO TENGA WHATSAPP Y SE LE DEJA EL MENSAJE AL CLIENTE SIN RESPUESTA SE PROCEDE A REPROGRAMAR ORDEN"/>
    <s v="VISITA_TÉCNICA"/>
    <s v="XP8ZZ968-XP9ZZ443"/>
    <s v="TIPO I"/>
    <s v="TERRESTRE"/>
    <s v="ORTEBARRERAGA MARLON STWAR"/>
    <n v="2"/>
    <n v="44559.563999999998"/>
    <n v="89119.127999999997"/>
  </r>
  <r>
    <s v="CALI"/>
    <x v="1"/>
    <x v="1"/>
    <n v="19548"/>
    <s v="TA-25-973860"/>
    <n v="54135"/>
    <s v="ORDEN DE CAMBIO"/>
    <s v="CAUCA"/>
    <s v="PIENDAMO"/>
    <s v="BARRIO FATIMA PIENDAMO"/>
    <s v="REDEBAN"/>
    <s v="FO-25-1375861"/>
    <d v="2025-08-14T11:30:00"/>
    <d v="2025-08-20T07:42:00"/>
    <m/>
    <s v="CIERRE"/>
    <s v="CIERRE"/>
    <s v="CB UNO A UNO"/>
    <s v="CB UNO A UNO"/>
    <s v="ILOCALIZADO"/>
    <s v="CB CERRADO - DESOCUPADO"/>
    <s v="0_x000a_ 0_x000a_ 19-08-2025 SE LLEGA A LA DIRECCION SE ENCUENTRA CERRADO COMERCIO"/>
    <s v="VISITA_TÉCNICA"/>
    <n v="0"/>
    <s v="TIPO III"/>
    <s v="TERRESTRE"/>
    <s v="GIMBUEL LASSO LUIS GERMAN"/>
    <n v="1"/>
    <n v="222904.07200000001"/>
    <n v="222904.07200000001"/>
  </r>
  <r>
    <s v="APARTADO"/>
    <x v="0"/>
    <x v="0"/>
    <n v="27810"/>
    <s v="LC-CS-25-000043"/>
    <n v="38240"/>
    <s v="ORDEN DE CAMBIO"/>
    <s v="CHOCO"/>
    <s v="UNION PANAMERICANA"/>
    <s v="BARRIO LOURDES UNION PANAMERICANA"/>
    <s v="REDEBAN"/>
    <s v="FO-25-1380827"/>
    <d v="2025-08-15T12:40:00"/>
    <d v="2025-08-20T10:34:00"/>
    <m/>
    <s v="CIERRE"/>
    <s v="CIERRE"/>
    <s v="CB UNO A UNO"/>
    <s v="CB UNO A UNO"/>
    <s v="ILOCALIZADO"/>
    <s v="CB CERRADO - DESOCUPADO"/>
    <s v="15/08/2025 SE INTENTA COMUNICACIÓN AL NÚMERO 3102233888 SUENA PERO NO HAY CONTACTO, SE INTENTARÁ NUEVAMENTE | 19/08/2025 SE INTENTA COMUNICACIÓN AL NÚMERO 3102233888 SUENA PERO NO HAY CONTACTO. SE INTENTARÁ NUEVAMENTE | 19/08/2025 SE INTENTA COMUNICACIÓN AL NÚMERO 3102233888 SUENA PERO NO HAY CONTACTO. | 20/08/2025 SE LLEGA A SITIO, PERSONAL QUE ATIENDE EL COMERCIO COMENTA QUE NO TIENE CONOCIMIENTO DE DATAFONOS Y EL EL DUEÑO NO SE ENCUENTRA Y NO SE ENTRA AUTOTOZADA A FIRMAR DOCUMENTOS SIN PREVIA AUTORIZACIÓN"/>
    <s v="VISITA_TÉCNICA"/>
    <s v="NO SUMINISTRA"/>
    <s v="TIPO IV"/>
    <s v="TERRESTRE"/>
    <s v="ROBLEDO DIAZ ANDRES FELIPE"/>
    <n v="1"/>
    <n v="464809.36800000002"/>
    <n v="464809.36800000002"/>
  </r>
  <r>
    <s v="APARTADO"/>
    <x v="0"/>
    <x v="0"/>
    <n v="27077"/>
    <s v="TA-25-962684"/>
    <n v="50248"/>
    <s v="ORDEN DE CAMBIO"/>
    <s v="CHOCO"/>
    <s v="BAJO BAUDO"/>
    <s v="BARRIO TRINIDAD Y PLAYITA BAJO BAUDO"/>
    <s v="REDEBAN"/>
    <s v="FO-25-1363671"/>
    <d v="2025-08-12T08:00:00"/>
    <d v="2025-08-20T11:11:00"/>
    <m/>
    <s v="CIERRE"/>
    <s v="RECUPERACION DE EQUIPOS"/>
    <s v="CB UNO A UNO"/>
    <s v="CB UNO A UNO"/>
    <s v="NO_EXITOSO"/>
    <s v="CB NO ENTREGA EQUIPO"/>
    <s v="0_x000a_ 14/08/2025 SE CONTACTA CON EL CLIENTE Y COMENTA Q UE NO SE ENCUENTRA CON LOS EQUIPO YA QUE ESTA EN UNA CITA MÉDICA CON LA PAREJA_x000a_QUEDA EN LLAMAR AL TÉCNICO CUANDO TENGA LOS EQUIPOS A DISPOSICIÓN | 15/08/2025 SE CONTACTA CON EL CLIENTE Y COMENTA QUE EN EL MOMENTO NO SE ENCUENTRA OCUPADO_x000a_QUEDA EN LLAMAR AL TÉCNICO CUANDO TENGA LOS EQUIPOS A DISPOSICIÓN_x000a_ 20-08-2025 SE CONTACTA EN REPETIDAS OCASIONES CON EL CLIENTE PARA ORGANIZAR LA ENTREGA DE LOS EQUIPOS NO FUE POSIBLE"/>
    <s v="VISITA_TÉCNICA"/>
    <s v="NO SUMINISTRA "/>
    <s v="TIPO IV ESPECIAL"/>
    <s v="AEREO"/>
    <s v="ROBLEDO DIAZ ANDRES FELIPE"/>
    <n v="1"/>
    <n v="464809.36800000002"/>
    <n v="464809.36800000002"/>
  </r>
  <r>
    <s v="MEDELLIN"/>
    <x v="0"/>
    <x v="0"/>
    <n v="5088"/>
    <s v="LC-CS-25-000022"/>
    <n v="59809"/>
    <s v="ORDEN DE CAMBIO"/>
    <s v="ANTIOQUIA"/>
    <s v="BELLO"/>
    <s v="BARRIO BELLO BELLO 5"/>
    <s v="REDEBAN"/>
    <s v="FO-25-1380850"/>
    <d v="2025-08-15T12:40:00"/>
    <d v="2025-08-21T09:06:00"/>
    <m/>
    <s v="CIERRE"/>
    <s v="CIERRE"/>
    <s v="CB UNO A UNO"/>
    <s v="CB UNO A UNO"/>
    <s v="ILOCALIZADO"/>
    <s v="CB CERRADO - DESOCUPADO"/>
    <s v="15/08/2025 SE INTENTA COMUNICACIÓN AL NÚMERO  3246127130 SE ENCUENTRA APAGADO. SE INTENTARÁ NUEVAMENTE | 19/08/2025 SE INTENTA COMUNICACIÓN AL NÚMERO  3246127130 SE ENCUENTRA APAGADO. SE INTENTARÁ NUEVAMENTE | 19/08/2025 SE INTENTA COMUNICACIÓN AL NÚMERO  3246127130 SE ENCUENTRA APAGADO. | 20/08/2025 SE LLEGA AL SITIO Y EL COMERCIO YA NO EXISTE SE INTENTÓ COMUNICARSE CON EL USUARIO Y NO FUE POSIBLE."/>
    <s v="VISITA_TÉCNICA"/>
    <n v="0"/>
    <s v="TIPO I"/>
    <s v="TERRESTRE"/>
    <s v="ZAPATA LOPEZ EDWARD ASDRUBAL"/>
    <n v="1"/>
    <n v="44559.563999999998"/>
    <n v="44559.563999999998"/>
  </r>
  <r>
    <s v="VALLEDUPAR"/>
    <x v="5"/>
    <x v="5"/>
    <n v="20001"/>
    <s v="LC-CS-25-000059"/>
    <n v="75703"/>
    <s v="ORDEN DE CAMBIO"/>
    <s v="CESAR"/>
    <s v="VALLEDUPAR"/>
    <s v="DISTRICOL DM SERVICIOS Y SUMIN"/>
    <s v="REDEBAN"/>
    <s v="FO-25-1392552"/>
    <d v="2025-08-19T14:17:00"/>
    <d v="2025-08-21T09:42:00"/>
    <m/>
    <s v="CIERRE"/>
    <s v="CIERRE"/>
    <s v="AGREGADOR"/>
    <s v="DISTRICOL"/>
    <s v="ILOCALIZADO"/>
    <s v="CB CERRADO - DESOCUPADO"/>
    <s v="19/08/2025 SE INTENTA COMUNICACIÓN AL NÚMERO 3226172324, SE ENCUENTRA APAGADO. SE INTENTARÁ NUEVAMENTE | 20/08/2025 SE INTENTA COMUNICACIÓN AL NÚMERO 3226172324, SE ENCUENTRA APAGADO. SE INTENTARÁ NUEVAMENTE | 20/08/2025 SE INTENTA COMUNICACIÓN AL NÚMERO 3226172324 SE ENCUENTRA APAGADO, SE INTENTA COMUNICACIÓN VIA WHATSAPP; NO LLEGAN LOS MENSAJES | 20/08/2025 BUENAS TARDES SE VISITA CB PERO SE ENCUENTRA CORRESPONSAL CERRADO,  Y EL TELÉFONO DE CONTACTO SE VA A BUZÓN, SE GESTIÓNA COMO VISITA FALLIDA"/>
    <s v="VISITA_TÉCNICA"/>
    <s v="1000R521"/>
    <s v="TIPO I"/>
    <s v="TERRESTRE"/>
    <s v="BENITEZ CARVAJAL ALVARO JAVIER"/>
    <n v="1"/>
    <n v="44559.563999999998"/>
    <n v="44559.563999999998"/>
  </r>
  <r>
    <s v="PASTO"/>
    <x v="1"/>
    <x v="1"/>
    <n v="52835"/>
    <s v="LC-CS-25-000089"/>
    <n v="52418"/>
    <s v="ORDEN DE CAMBIO"/>
    <s v="NARIÑO"/>
    <s v="SAN ANDRES DE TUMACO"/>
    <s v="BARRIO TUMACO SAN ANDRES DE TU"/>
    <s v="REDEBAN"/>
    <s v="FO-25-1397913"/>
    <d v="2025-08-20T14:00:00"/>
    <d v="2025-08-21T14:00:00"/>
    <m/>
    <s v="CIERRE"/>
    <s v="CIERRE"/>
    <s v="CB UNO A UNO"/>
    <s v="CB UNO A UNO"/>
    <s v="NO_EXITOSO"/>
    <s v="CB NO ENTREGA EQUIPO"/>
    <s v="20/08/2025 EN COMUNICACIÓN CON EL NÚMERO 3214547858 NOS INDICAN QUE EL CB SE ENCUENTRA EN CALI EN LA DIRECCIÓN CR 3 NORTE # 71 C 20 | 21/08/2025 SE VISITA EL COMERCIO EN LA DIRECCIÓN INDICADA POR EL CLIENTE EN CALI, SE VÁLIDA QUE NO TIENE EQUIPOS DE REDEBAN DEL PUNTO 52418 BARRIO TUMACO SAN ANDRÉS DE TUMACO PORQUE LA SEÑORA ANGIE MARIELA FIGUEROA GARCÍA Y EL SEÑOR DAGOBERTO FIGUEROA NO ES LA REPRESENTANTE LEGAL DE ESE PUNTO, INFORMA QUE LOS EQUIPOS QUE VA ENTREGAR ES DEL PUNTO 57562 BARRIO PASO DEL COMERCIO CALI"/>
    <s v="VISITA_TÉCNICA"/>
    <s v="NONE"/>
    <s v="TIPO IV"/>
    <s v="TERRESTRE"/>
    <s v="HERRERA MONAR GEOVANNY"/>
    <n v="1"/>
    <n v="464809.36800000002"/>
    <n v="464809.36800000002"/>
  </r>
  <r>
    <s v="BOGOTA"/>
    <x v="3"/>
    <x v="3"/>
    <n v="25740"/>
    <s v="LC-CS-25-000062"/>
    <n v="48232"/>
    <s v="ORDEN DE CAMBIO"/>
    <s v="CUNDINAMARCA"/>
    <s v="SIBATE"/>
    <s v="DISTRICOL TABEEL"/>
    <s v="REDEBAN"/>
    <s v="FO-25-1392558"/>
    <d v="2025-08-19T14:17:00"/>
    <d v="2025-08-21T14:25:00"/>
    <m/>
    <s v="CIERRE"/>
    <s v="CIERRE"/>
    <s v="AGREGADOR"/>
    <s v="DISTRICOL"/>
    <s v="ILOCALIZADO"/>
    <s v="CB CERRADO - DESOCUPADO"/>
    <s v="19/08/2025 EN COMUNICACIÓN CON EL SR CRISTIAN TORRES AL NÚMERO 3195812689 NOS CONFIRMA LA SOLICITUD, DATOS CORRECTOS. SE ESCALA PARA VISITA | 21/08/2025 DURANTE LA VISITA TECNICA PARA REALIZAR CIERRE DE CORRESPONSAL BANCARIO AL LLEGAR SE EVIDENCIA QUE COMERCIO NO EXISTE EN DIRECCIÓN SE PREGUNTA EN COMERCIO ACTUAL EL CUAL INDICA QUE LA SRA SE PASO A LA DIRECCIÓN KR 8 10 71 EN DICHA DIRECCIÓN SE ENCUENTRA CERRADO EL CB SE LLAMA AL NUMERO DE CELULAR 3195812689 EN REPETIDAS OCASIONES SIN TENER RESPUESTA SE INFORMA A COORDINADOR Y SE PROCEDE AL CIERRE DE LA ACTIVIDAD"/>
    <s v="VISITA_TÉCNICA"/>
    <n v="0"/>
    <s v="TIPO II"/>
    <s v="TERRESTRE"/>
    <s v="GALEANO SORIANO JUAN DAVID"/>
    <n v="1"/>
    <n v="134410.88400000002"/>
    <n v="134410.88400000002"/>
  </r>
  <r>
    <s v="BUCARAMANGA"/>
    <x v="4"/>
    <x v="4"/>
    <n v="68001"/>
    <s v="LC-CS-25-000072"/>
    <n v="31325"/>
    <s v="ORDEN DE CAMBIO"/>
    <s v="SANTANDER"/>
    <s v="BUCARAMANGA"/>
    <s v="BARRIO CIUDAD BOLIVAR"/>
    <s v="REDEBAN"/>
    <s v="FO-25-1393708"/>
    <d v="2025-08-19T15:38:00"/>
    <d v="2025-08-22T07:52:00"/>
    <m/>
    <s v="CIERRE"/>
    <s v="CIERRE"/>
    <s v="CB UNO A UNO"/>
    <s v="CB UNO A UNO"/>
    <s v="ILOCALIZADO"/>
    <s v="CB CERRADO - DESOCUPADO"/>
    <s v="19/08/2025 SE INTENTA COMUNICACIÓN AL  NÚMERO 3184913235 SE ENCUENTRA APAGADO. SE INTENTARÁ NUEVAMENTE | 20/08/2025 SE INTENTA COMUNICACIÓN AL  NÚMERO 3184913235 SE ENCUENTRA APAGADO. SE INTENTARÁ NUEVAMENTE | 21/08/2025 SE VISITA COMERCIO SE VERIFICA QUE SE ENCUENTRA CERRADO SE LLAMA EN REPETIDAS OCASIONES AL NUMERO 6440577 SIN RESPUESTA ALGUNA ,SE PREGUNTA A SUS ALREDEDORES Y NO DAN RAZON VISITA FALLIDA"/>
    <s v="VISITA_TÉCNICA"/>
    <n v="11115906"/>
    <s v="TIPO I"/>
    <s v="TERRESTRE"/>
    <s v="BARAJAS BERMUDEZ YAHIR MAURICIO"/>
    <n v="1"/>
    <n v="44559.563999999998"/>
    <n v="44559.563999999998"/>
  </r>
  <r>
    <s v="PASTO"/>
    <x v="1"/>
    <x v="1"/>
    <n v="86569"/>
    <s v="LC-CS-25-000044"/>
    <n v="55741"/>
    <s v="ORDEN DE CAMBIO"/>
    <s v="PUTUMAYO"/>
    <s v="PUERTO CAICEDO"/>
    <s v="BARRIO SANTA BARBARA PUERTO CA"/>
    <s v="REDEBAN"/>
    <s v="FO-25-1380867"/>
    <d v="2025-08-15T12:40:00"/>
    <d v="2025-08-22T07:54:00"/>
    <m/>
    <s v="CIERRE"/>
    <s v="RECUPERACION DE EQUIPOS"/>
    <s v="CB UNO A UNO"/>
    <s v="CB UNO A UNO"/>
    <s v="NO_EXITOSO"/>
    <s v="CB NO ENTREGA EQUIPO"/>
    <s v="15/08/2025 EN COMUNICACIÓN CON LA SEÑORA DIANA YOLANDA LOMBANA AL NÚMERO 3188632650 SE CONFIRMA LA  SOLICITUD, DATOS CORRECTOS, SE ESCALA PARA VISITA, LLAMAR ANTES DE DESPLAZARSE | 21/08/2025 SE LLEGA A MUNICIPIO PERO LA ENCARGADA DEL CB NO SE ENCUENTRA. SE REALIZA COMUNICACIÓN TELEFÓNICA E INFORMA QUE DEVOLVERA PERSONALMENTE LOS EQUIPOS A BANCOLOMBIA YA QUE SE LE DESCONTÓ UN DINERO POR ELLOS, Y QUIERE SABER CUNADO LE REINTEGRARAN DICHO DINERO."/>
    <s v="VISITA_TÉCNICA"/>
    <s v="IIHZZ021"/>
    <s v="TIPO IV"/>
    <s v="TERRESTRE"/>
    <s v="GUERRERO RAMIREZ OSCAR DARIO"/>
    <n v="1"/>
    <n v="464809.36800000002"/>
    <n v="464809.36800000002"/>
  </r>
  <r>
    <s v="CUCUTA"/>
    <x v="4"/>
    <x v="4"/>
    <n v="54810"/>
    <s v="LC-CS-25-000056"/>
    <n v="76045"/>
    <s v="ORDEN DE CAMBIO"/>
    <s v="NORTE DE SANTANDER"/>
    <s v="TIBU"/>
    <s v="PTM TIBU J STORE"/>
    <s v="REDEBAN"/>
    <s v="FO-25-1392543"/>
    <d v="2025-08-19T14:17:00"/>
    <d v="2025-08-22T09:12:00"/>
    <m/>
    <s v="CIERRE"/>
    <s v="CIERRE"/>
    <s v="AGREGADOR"/>
    <s v="COMCARD - PTM"/>
    <s v="NO_EXITOSO"/>
    <s v="CB NO ENTREGA EQUIPO"/>
    <s v="19/08/2025 EN COMUNICACIÓN CON EL SR JAIRO ALONSO ROJAS CRIOLLO AL NÚMERO 3108624352 NOS COFIRMA LA SOLICITUD, DATOS CORRECTOS, SE ESCALA PARA VISITA. POR FAVOR LLAMAR ANTES DE DESPLAZARSE | 21/08/2025 EN COMUNICACIÓN CON EL CLIENTE EL SR JAIRO ALONSO ROJAS CRIOL 3108624352 SE LE INFORMA QUE POR ORDEN PÚBLICO NO SE PUEDE VIAJAR A LA ZONA DEL CATATUMBO SE LE INDICA QUE LOS EQUIPOS LOS PODRÍA ENVIAR A ALGUN FAMILIAR O EL PODER VIAJAR A ENTREGARLO PERSONALMENTE,ME INFORMA QUE OOR SEGURIDAD NO LES PERMITEN SALIR O ENVIAR NADA EN LA ZONA DONDE SE ENCUENTRAN | 22/08/2025 EN COMUNICACIÓN CON EL CLIENTE SE LE INFORMA QUE POR ORDEN PÚBLICO NO SE PUEDE VIAJAR A LA ZONA DEL CATATUMBO PARA LA RECOLECCIÓN DE EQUIPOS, SE LE INDICA QUE PODRÍA TRAERLOS A CÚCUTA O ENVIARLOS A ALGÚN FAMILIAR PARA LA ENTREGA,ME INDICO QUE POR SEGURIDAD Y ORDEN PÚBLICO NO PUEDE SALIR DE LA VEREDA Y TAMPOCO LES PERMITE REALIZAR ENVÍOS"/>
    <s v="SOPORTE_TELEFÓNICO"/>
    <n v="0"/>
    <s v="TIPO IV ESPECIAL"/>
    <s v="TERRESTRE"/>
    <s v="DURAN ACOSTA FRANK YONNY"/>
    <n v="0"/>
    <n v="37904.612000000001"/>
    <n v="37904.612000000001"/>
  </r>
  <r>
    <s v="PEREIRA"/>
    <x v="1"/>
    <x v="6"/>
    <n v="63130"/>
    <s v="LC-CS-25-000103"/>
    <n v="68002"/>
    <s v="ORDEN DE CAMBIO"/>
    <s v="QUINDIO"/>
    <s v="CALARCA"/>
    <s v="BARRIO CENTRO CALARCA 11"/>
    <s v="REDEBAN"/>
    <s v="FO-25-1406226"/>
    <d v="2025-08-22T08:00:00"/>
    <d v="2025-08-22T10:02:00"/>
    <m/>
    <s v="CIERRE"/>
    <s v="RECUPERACION DE EQUIPOS"/>
    <s v="CB UNO A UNO"/>
    <s v="CB UNO A UNO"/>
    <s v="ILOCALIZADO"/>
    <s v="CB CERRADO - DESOCUPADO"/>
    <s v="22/08/2025 SE INTENTA COMUNICACIÓN A LOS NÚMEROS 3148035888-3136730379, SE ENCUENTRAN APAGADOS. SE INTENTARÁ NUEVAMENTE | 22/08/2025 SE INTENTA COMUNICACIÓN A LOS NÚMEROS 3148035888-3136730379, SE ENCUENTRAN APAGADOS. SE INTENTARÁ NUEVAMENTE | 22/08/2025 SE VISITA COMERCIO, SE ENCUENTRA CERRADO, SE LLAMA A CONTACTOS NO HAY RESPUESTA, SE PREGUNTA A VECINOS POR EL COMERCIO INDICAN NO SABER NADA."/>
    <s v="VISITA_TÉCNICA"/>
    <s v="9L00V516"/>
    <s v="TIPO II"/>
    <s v="TERRESTRE"/>
    <s v="SANCHEZ SOLORZANO JUAN SEBASTIAN"/>
    <n v="1"/>
    <n v="134410.88400000002"/>
    <n v="134410.88400000002"/>
  </r>
  <r>
    <s v="MEDELLIN"/>
    <x v="0"/>
    <x v="0"/>
    <n v="5318"/>
    <s v="LC-CS-25-000048"/>
    <n v="69664"/>
    <s v="ORDEN DE CAMBIO"/>
    <s v="ANTIOQUIA"/>
    <s v="GUARNE"/>
    <s v="PTM GUARNE  MINIMERCADO LOS MA"/>
    <s v="REDEBAN"/>
    <s v="FO-25-1402428 | FO-25-1392601"/>
    <d v="2025-08-19T14:17:00"/>
    <d v="2025-08-22T10:35:00"/>
    <m/>
    <s v="CIERRE"/>
    <s v="CIERRE"/>
    <s v="AGREGADOR"/>
    <s v="COMCARD - PTM"/>
    <s v="EJECUTADO_EXITOSO"/>
    <s v="CIERRE EXITOSO"/>
    <s v="19/08/2025 EN COMUNICACIÓN CON LA SRA DIANA MARIA GARCIA TORO  AL NÚMERO  3117942928 NOS CONFRIMA SOLICITUD, LA USUARIA INDICA QUE LA DIRECCIÓN PARA LA RECOLECCIÓN DE LOS EQUIPOS ES EN GUARNE CR 50 # 56-41 BARRIO SAN VICENTE | 21/08/2025 SE VISITA COMERCIO PERO SE ENCUENTRA CERRADO, SE LLAMA AL NÚMERO INDICADO PERO NO CONTESTAN, ESPERO POR UNOS MINUTOS (30) PERO NO ABREN_x000a_22/08/2025 SE REALIZA CIERRE DE CB"/>
    <s v="VISITA_TÉCNICA"/>
    <s v="MN000392_x000a_MN000606 - MN000392"/>
    <s v="TIPO II"/>
    <s v="TERRESTRE"/>
    <s v="HERNANDEZ CHAVARRIA JUAN CAMILO"/>
    <n v="1"/>
    <n v="134410.88400000002"/>
    <n v="134410.88400000002"/>
  </r>
  <r>
    <s v="BOGOTA"/>
    <x v="3"/>
    <x v="3"/>
    <n v="11001"/>
    <s v="LC-CS-25-000100"/>
    <n v="23154"/>
    <s v="ORDEN DE CAMBIO"/>
    <s v="CUNDINAMARCA"/>
    <s v="BOGOTA"/>
    <s v="BARRIO PUENTE ARANDA VIII BOGO"/>
    <s v="REDEBAN"/>
    <s v="FO-25-1406215"/>
    <d v="2025-08-22T08:00:00"/>
    <d v="2025-08-22T13:48:00"/>
    <m/>
    <s v="CIERRE"/>
    <s v="RECUPERACION DE EQUIPOS"/>
    <s v="CB UNO A UNO"/>
    <s v="CB UNO A UNO"/>
    <s v="NO_EXITOSO"/>
    <s v="CB NO ENTREGA EQUIPO"/>
    <s v="22/08/2025 EN COMUNICACIÓN CON EL SR NELSON FAUSTINO AL NÚMERO 3176393348 NOS CONFIRMA LA SOLICITUD, DATOS CORRECTOS. SE ESCALA PARA VISITA | 22/08/2025 SE REALIZA VISITA A CB PARA REALIZAR CIERRE EL SEÑOR LEONARDO INDICA QUE NO TIENE NINGÚN EQUIPO Y NO TIENEN CONOCIMIENTO SOBRE ELLOS"/>
    <s v="VISITA_TÉCNICA"/>
    <s v="NO"/>
    <s v="TIPO I"/>
    <s v="TERRESTRE"/>
    <s v="GALINDO ROJAS LUIS FELIPE"/>
    <n v="1"/>
    <n v="44559.563999999998"/>
    <n v="44559.563999999998"/>
  </r>
  <r>
    <s v="IBAGUE"/>
    <x v="2"/>
    <x v="2"/>
    <n v="73001"/>
    <s v="LC-CS-25-000124"/>
    <n v="63213"/>
    <s v="ORDEN DE CAMBIO"/>
    <s v="TOLIMA"/>
    <s v="IBAGUE"/>
    <s v="PTM IBAGUE DISTRIBUIDORA AYV"/>
    <s v="REDEBAN"/>
    <s v="FO-25-1410458"/>
    <d v="2025-08-22T13:30:00"/>
    <d v="2025-08-23T13:40:00"/>
    <m/>
    <s v="CIERRE"/>
    <s v="RECUPERACION DE EQUIPOS"/>
    <s v="AGREGADOR"/>
    <s v="COMCARD - PTM"/>
    <s v="ILOCALIZADO"/>
    <s v="CB CERRADO - DESOCUPADO"/>
    <s v="31/08/2025 EN COMUNICACIÓN CON EL SR VICTOR SANTOYA AL NÚMERO 3026622583 NOS CONFIRMA LA SOLICITUD Y DATOS CORRECTOS, SE ESCALA PARA VISITA, SIN EMBARGO LLAMAR ANTES DE DEPLAZARSE PARA DARLE INFORMACIÓN SOBRE LA DIRECCIÓN DE RCOLECCIÓN DE LOS EQUIPOS PORQUE EL USUARIO NO SE ENCUENTRA EN LA CIUDAD | 22/08/2025 SE LLEGA AL SITIO PERO EL COMERCIO NO EXISTE, SE VÁLIDA CONTACTO TELEFÓNICO AL NÚMERO 3026622583, NOS INDICAN ESTAR EQUIVOCADOS."/>
    <s v="VISITA_TÉCNICA"/>
    <n v="0"/>
    <s v="TIPO I"/>
    <s v="TERRESTRE"/>
    <s v="BARRAGAN TAFUR EDWIN ESTEBAN"/>
    <n v="1"/>
    <n v="44559.563999999998"/>
    <n v="44559.563999999998"/>
  </r>
  <r>
    <s v="BOGOTA"/>
    <x v="3"/>
    <x v="3"/>
    <n v="11001"/>
    <s v="LC-CS-25-000111"/>
    <n v="32886"/>
    <s v="ORDEN DE CAMBIO"/>
    <s v="CUNDINAMARCA"/>
    <s v="BOGOTA"/>
    <s v="BARRIO PERDOMO BOGOTA 5"/>
    <s v="REDEBAN"/>
    <s v="FO-25-1410482"/>
    <d v="2025-08-22T13:30:00"/>
    <d v="2025-08-23T13:45:00"/>
    <m/>
    <s v="CIERRE"/>
    <s v="CIERRE"/>
    <s v="CB UNO A UNO"/>
    <s v="CB UNO A UNO"/>
    <s v="NO_EXITOSO"/>
    <s v="CB NO ENTREGA EQUIPO"/>
    <s v="22/08/2025 EN COMUNICACIÓN CON EL SR LUIS GENALDO DAZA RINCONAL NÚMERO 3105588702 NOS CONFIRMA LA SOLICITUD, NOS INDICA QUE LA DIRECCIÓN PARA LA RECOLECCIÓN DE LOS EQUIPOS ES CARRERA 97 C # 49 C 15 SUR BOSA DROGUERIA SERVICOP. SE ESCALA PARA VISITA, POR FAVOR LLAMAR ANTES DE DESPLAZARSE | 23/08/2025 SE LLEGA ALA DIRECCIÓN INDICADA Y COMERCIO INDICA QUE NO SE ENCUENTRA PERSONA ENCARGADA DE LA ENTREGA , SE LLAMA AL NÚMERO 3105588702 SR LUIS GENALDO DAZA RINCON INDICA QUE EL DÍA DE HOY NO PUEDE ATENDER NI ENTREGAR EQUIPOS QUE DE LUNES A VIERNES."/>
    <s v="VISITA_TÉCNICA"/>
    <n v="0"/>
    <s v="TIPO I"/>
    <s v="TERRESTRE"/>
    <s v="GARCIA PASTRANA KEVIN FERNANDO"/>
    <n v="1"/>
    <n v="44559.563999999998"/>
    <n v="44559.563999999998"/>
  </r>
  <r>
    <s v="BOGOTA"/>
    <x v="3"/>
    <x v="3"/>
    <n v="11001"/>
    <s v="LC-CS-25-000105"/>
    <n v="72530"/>
    <s v="ORDEN DE CAMBIO"/>
    <s v="CUNDINAMARCA"/>
    <s v="BOGOTA"/>
    <s v="LA CASTELLANA BOGOTA 3"/>
    <s v="REDEBAN"/>
    <s v="FO-25-1406236"/>
    <d v="2025-08-22T08:00:00"/>
    <d v="2025-08-23T13:49:00"/>
    <m/>
    <s v="CIERRE"/>
    <s v="RECUPERACION DE EQUIPOS"/>
    <s v="CB UNO A UNO"/>
    <s v="CB UNO A UNO"/>
    <s v="ILOCALIZADO"/>
    <s v="CB CERRADO - DESOCUPADO"/>
    <s v="22/08/2025 EN COMUNICACIÓN CON LA SRA MARCELA DE ANTONIO  AL NÚMERO 3116207484 NOS CONFIRMA LA SOLICITUD, DATOS CORRECTOS. SE ESCALA PARA VISITA, POR FAVOR LLAMAR ANTES DE DESPLAZARSE | 23/08/2025 SE VISITA DIRECCIÓN INDICADA EN LA ORDEN SE EVIDENCIA QUE EL COMERCIO SE ENCUENTRA CERRADO SE LLAMA EL TELÉFONO DE CONTACTO VARIAS VECES NO SE LOGRA COMUNICACIÓN CON EL CLIENTE SE TOMAN EVIDENCIAS FOTOGRÁFICAS DE LA VISITA Y NOS RETIRAMOS"/>
    <s v="VISITA_TÉCNICA"/>
    <s v="NONE"/>
    <s v="TIPO I"/>
    <s v="TERRESTRE"/>
    <s v="VEGA MANRIQUE JONATAN MAURICIO"/>
    <n v="1"/>
    <n v="44559.563999999998"/>
    <n v="44559.563999999998"/>
  </r>
  <r>
    <s v="APARTADO"/>
    <x v="0"/>
    <x v="0"/>
    <n v="5172"/>
    <s v="LC-CS-25-000023"/>
    <n v="59671"/>
    <s v="ORDEN DE CAMBIO"/>
    <s v="ANTIOQUIA"/>
    <s v="CHIGORODO"/>
    <s v="BARRIO CHIGORODO CHIGORODO 2"/>
    <s v="REDEBAN"/>
    <s v="FO-25-1380901"/>
    <d v="2025-08-15T12:40:00"/>
    <d v="2025-08-23T15:44:00"/>
    <m/>
    <s v="CIERRE"/>
    <s v="CIERRE"/>
    <s v="CB UNO A UNO"/>
    <s v="CB UNO A UNO"/>
    <s v="ILOCALIZADO"/>
    <s v="CB CERRADO - DESOCUPADO"/>
    <s v="15/08/2025 SE INTENTA COMUNICACIÓN AL NÚMERO 3147932162 SUENA PERO NO HAY CONTACTO. SE INTENTARÁ NUEVAMENTE | 19/08/2025 SE INTENTA COMUNICACIÓN AL NÚMERO 3147932162 SUENA PERO NO HAY CONTACTO. SE INTENTARÁ NUEVAMENTE | 19/08/2025 SE INTENTA COMUNICACIÓN AL NÚMERO 3147932162 SUENA PERO NO HAY CONTACTO. | 23/08/2025 SE REALIZA VISITA AL ESTABLECIMIENTO COMERCIAL CON EL OBJETIVO DE GESTIONAR EL CIERRE DEL CORRESPONSAL BANCOLOMBIA. AL LLEGAR, SE CONSTATA QUE EL COMERCIO SE ENCUENTRA CERRADO. SE INTENTA ESTABLECER COMUNICACIÓN CON EL USUARIO RESPONSABLE MEDIANTE LOS CANALES HABITUALES, PERO NO SE OBTIENE RESPUESTA."/>
    <s v="VISITA_TÉCNICA"/>
    <s v="LA009528"/>
    <s v="TIPO II"/>
    <s v="TERRESTRE"/>
    <s v="MARTINEZ TOVAR OSCAR DAVID"/>
    <n v="1"/>
    <n v="134410.88400000002"/>
    <n v="134410.88400000002"/>
  </r>
  <r>
    <s v="CUCUTA"/>
    <x v="4"/>
    <x v="4"/>
    <n v="54405"/>
    <s v="LC-CS-25-000121"/>
    <n v="77857"/>
    <s v="ORDEN DE CAMBIO"/>
    <s v="NORTE DE SANTANDER"/>
    <s v="LOS PATIOS"/>
    <s v="PTM PUNTOSERVIS LOS PATIOS 1 L"/>
    <s v="REDEBAN"/>
    <s v="FO-25-1410406 | FO-25-1416809"/>
    <d v="2025-08-22T13:30:00"/>
    <d v="2025-08-24T13:55:00"/>
    <m/>
    <s v="CIERRE"/>
    <s v="RECUPERACION DE EQUIPOS"/>
    <s v="AGREGADOR"/>
    <s v="COMCARD - PTM"/>
    <s v="ILOCALIZADO"/>
    <s v="CB CERRADO - DESOCUPADO"/>
    <s v="28/08/2025 EN COMUNICACIÓN CON LA SRA DIANA ORTIZ AL NÚMERO 3028161475 NOS CONFIRMA LA SOLICITUD, DATOS CORRECTOS. SE ESCALA PARA VISITA, POR FAVOR LLAMAR A LOS NÚMEROS 3028161475 O 3203894073 ANTES DE DESPLAZARSE. | 23/08/2025 SE REALIZA VISITA, COMERCIO SE ENCUENTRA CERRADO, SE INTENTA CONTACTAR TELEFÓNICAMENTE AL CLIENTE, PERO NO RESPONDE EL NÚMERO DE CONTACTO._x000a__x000a_3028161475"/>
    <s v="VISITA_TÉCNICA"/>
    <s v="NONE"/>
    <s v="TIPO I"/>
    <s v="TERRESTRE"/>
    <s v="PACHECO BUITRAGO JAVIER ALONSO"/>
    <n v="2"/>
    <n v="44559.563999999998"/>
    <n v="89119.127999999997"/>
  </r>
  <r>
    <s v="CALI"/>
    <x v="1"/>
    <x v="1"/>
    <n v="76001"/>
    <s v="LC-CS-25-000125"/>
    <n v="47249"/>
    <s v="ORDEN DE CAMBIO"/>
    <s v="VALLE DEL CAUCA"/>
    <s v="CALI"/>
    <s v="PTM  CALI  ISA BOUTIQUE"/>
    <s v="REDEBAN"/>
    <s v="FO-25-1410468"/>
    <d v="2025-08-22T13:30:00"/>
    <d v="2025-08-24T13:58:00"/>
    <m/>
    <s v="CIERRE"/>
    <s v="RECUPERACION DE EQUIPOS"/>
    <s v="AGREGADOR"/>
    <s v="COMCARD - PTM"/>
    <s v="ILOCALIZADO"/>
    <s v="CB CERRADO - DESOCUPADO"/>
    <s v="31/08/2025 SE INTENTA COMUNICACIÓN AL NÚMERO 3148149892 SE ENCUENTRA APAGADO. SE INTENTARÁ NUEVAMENTE | 23/08/2025 SE INTENTA COMUNICACIÓN AL NÚMERO 3148149892 SE ENCUENTRA APAGADO. SE INTENTARÁ NUEVAMENTE | 23/08/2025 SE INTENTA COMUNICACIÓN VIA WHATSAPP Y LLAMADA AL NÚMERO 3148149892 SE ENCUENTRA APAGADO, NO HAY CONTACTO | 22/08/2025 SE LLEGA AL COMERCIO PERO EL COMERCIO SE ENCUENTRA CERRADO SE LLAMA EL CLIENTE Y NO CONTESTA ENTONCES NO SE PUEDE HACER RETIRO DE PUBLICIDAD NI EQUIPOS SE PREGUNTA LOS ALREDEDORES Y DICE QUE EL COMERCIO LLEVA TIEMPO ASÍ CERRADO"/>
    <s v="VISITA_TÉCNICA"/>
    <s v="TR00D556"/>
    <s v="TIPO I"/>
    <s v="TERRESTRE"/>
    <s v="CUERO RUIZ JHONNY"/>
    <n v="1"/>
    <n v="44559.563999999998"/>
    <n v="44559.563999999998"/>
  </r>
  <r>
    <s v="MEDELLIN"/>
    <x v="0"/>
    <x v="0"/>
    <n v="5001"/>
    <s v="LC-CS-25-000079"/>
    <n v="25583"/>
    <s v="ORDEN DE CAMBIO"/>
    <s v="ANTIOQUIA"/>
    <s v="MEDELLIN"/>
    <s v="COMCARD FERRE-JORDANÑ1"/>
    <s v="REDEBAN"/>
    <s v="FO-25-1397938"/>
    <d v="2025-08-20T13:58:00"/>
    <d v="2025-08-24T14:04:00"/>
    <m/>
    <s v="CIERRE"/>
    <s v="CIERRE"/>
    <s v="AGREGADOR"/>
    <s v="COMCARD - PTM"/>
    <s v="NO_EXITOSO"/>
    <s v="CB NO ENTREGA EQUIPO"/>
    <s v="20/08/2025 SE INTENTA COMUNICACIÓN AL NÚMERO 3003102770 SUENA PERO NO HAY CONTACTO. SE INTENTARÁ NUEVAMENTE | 21/08/2025 SE INTENTA COMUNICACIÓN AL NÚMERO 3003102770 SUENA PERO NO HAY CONTACTO. SE INTENTARÁ NUEVAMENTE | 22/08/2025 SE INTENTA COMUNICACIÓN AL NÚMERO 3003102770 SUENA PERO NO HAY CONTACTO. | 23/08/2025 SE CONTACTA A CLIENTE VÍA CHAT Y TELEFÓNICA NO SE RECIBEN RESPUESTAS. EN EL PUNTO EMPLEADO INFORMA EL SR NO ESTÁ Y LOS EQUIPOS NO SE ENCUENTRAN EN EL LUGAR POR LO TANTO NO SE PUEDE REALIZAR EL CIERRE DEL CB"/>
    <s v="VISITA_TÉCNICA"/>
    <s v="NONE"/>
    <s v="TIPO I"/>
    <s v="TERRESTRE"/>
    <s v="HERNANDEZ CHAVARRIA JUAN CAMILO"/>
    <n v="1"/>
    <n v="44559.563999999998"/>
    <n v="44559.563999999998"/>
  </r>
  <r>
    <s v="BOGOTA"/>
    <x v="3"/>
    <x v="3"/>
    <n v="11001"/>
    <s v="LC-CS-25-000069"/>
    <n v="45415"/>
    <s v="ORDEN DE CAMBIO"/>
    <s v="CUNDINAMARCA"/>
    <s v="BOGOTA"/>
    <s v="BARRIO RESTREPO BOGOTA 7"/>
    <s v="REDEBAN"/>
    <s v="FO-25-1393695"/>
    <d v="2025-08-19T15:38:00"/>
    <d v="2025-08-24T14:05:00"/>
    <m/>
    <s v="CIERRE"/>
    <s v="CIERRE"/>
    <s v="CB UNO A UNO"/>
    <s v="CB UNO A UNO"/>
    <s v="ILOCALIZADO"/>
    <s v="CB CERRADO - DESOCUPADO"/>
    <s v="19/08/2025 EN COMUNICACIÓN CON EL SR CARLOS ARLEY MORENO BEJARANO AL NÚMERO 3146259714 NOS CONFIRMA LA SOLICITUD, DATOS CORRECTOS. SE ESCALA PARA VISITA, POR FAVOR LLAMAR ANTES DE DESPLAZARSE | 23/08/2025 SE VISITA COMERCIO LA DIRECCIÓN SUMISNISTADA EN LA ORDEN PERO EN EL SITIO NO HAY CONTACTO CON EL CLIENTE Y NO HAY NÚMEROS DE CONTACTO, SE TOMA EVIDENCIA FOTOGRAFICA DE LA VISITA Y NOS RETIRAMOS"/>
    <s v="VISITA_TÉCNICA"/>
    <n v="0"/>
    <s v="TIPO I"/>
    <s v="TERRESTRE"/>
    <s v="VEGA MANRIQUE JONATAN MAURICIO"/>
    <n v="1"/>
    <n v="44559.563999999998"/>
    <n v="44559.563999999998"/>
  </r>
  <r>
    <s v="CUCUTA"/>
    <x v="4"/>
    <x v="4"/>
    <n v="54498"/>
    <s v="LC-CS-25-000063"/>
    <n v="45252"/>
    <s v="ORDEN DE CAMBIO"/>
    <s v="NORTE DE SANTANDER"/>
    <s v="OCAÑA"/>
    <s v="DISTRICOL DROGUERIA LA COLINA"/>
    <s v="REDEBAN"/>
    <s v="FO-25-1409474 | FO-25-1392606"/>
    <d v="2025-08-19T14:17:00"/>
    <d v="2025-08-24T14:09:00"/>
    <m/>
    <s v="CIERRE"/>
    <s v="CIERRE"/>
    <s v="AGREGADOR"/>
    <s v="DISTRICOL"/>
    <s v="EJECUTADO_EXITOSO"/>
    <s v="CIERRE EXITOSO"/>
    <s v="19/08/2025 SE INTENTA COMUNICACIÓN AL NÚMERO 3157158244 SUENA PERO NO HAY CONTACTO. SE INTENTARÁ NUEVAMENTE | 20/08/2025 SE INTENTA COMUNICACIÓN AL NÚMERO 3157158244 SUENA PERO NO HAY CONTACTO. SE INTENTARÁ NUEVAMENTE | 22/08/2025 SE REALIZÓ VISITA AL COMERCIO Y CLIENTE MANIFIESTA QUE LA PERSONA ENCARGADA O REPRESENTANTE SE ENCUENTRA A LAS 3PM, SE REPROGRAMAR VISITA PARA LAS HORAS PM_x000a_22/08/2025 SE REALIZA VISITA AL COMERCIO Y SE REALIZA RETIRO DE DATAFONO LECTORA CABLEADO PUBLICIDAD FUE DESTRUIDA POR EL CLIENTE POR SU MAL ESTADO"/>
    <s v="VISITA_TÉCNICA"/>
    <s v="NONE_x000a_GA0LZ547"/>
    <s v="TIPO IV"/>
    <s v="TERRESTRE"/>
    <s v="MORA VEGA JEAMPIER"/>
    <n v="1"/>
    <n v="464809.36800000002"/>
    <n v="464809.36800000002"/>
  </r>
  <r>
    <s v="BOGOTA"/>
    <x v="3"/>
    <x v="3"/>
    <n v="11001"/>
    <s v="LC-CS-25-000065"/>
    <n v="68439"/>
    <s v="ORDEN DE CAMBIO"/>
    <s v="CUNDINAMARCA"/>
    <s v="BOGOTA"/>
    <s v="PTM BOGOTA REYES MULTISERVICI"/>
    <s v="REDEBAN"/>
    <s v="FO-25-1392550"/>
    <d v="2025-08-19T14:17:00"/>
    <d v="2025-08-25T14:22:00"/>
    <m/>
    <s v="CIERRE"/>
    <s v="CIERRE"/>
    <s v="AGREGADOR"/>
    <s v="COMCARD - PTM"/>
    <s v="ILOCALIZADO"/>
    <s v="CB CERRADO - DESOCUPADO"/>
    <s v="19/08/2025 SE INTENTA COMUNICACIÓN AL NÚMERO 6050962 NO HAY CONTACTO. SE INTENTARÁ NUEVAMENTE | 20/08/2025 SE INTENTA COMUNICACIÓN AL NÚMERO 6050962 NO HAY CONTACTO. SE INTENTARÁ NUEVAMENTE | 20/08/2025 SE INTENTA COMUNICACIÓN AL NÚMERO 6050962 NO HAY CONTACTO. | 25/08/2025 SE VISITA COMERCIO, SE EVIDENCIA QUE ESTÁ CERRADO, SE LLAMA A TELÉFONOS DE CONTACTO 3206578031 Y NO HAY RESPUESTA, SE TOMA EVIDENCIA DE LA VISITA Y NOS RETIRAMOS."/>
    <s v="VISITA_TÉCNICA"/>
    <s v="NONE"/>
    <s v="TIPO I"/>
    <s v="TERRESTRE"/>
    <s v="VEGA MANRIQUE JONATAN MAURICIO"/>
    <n v="1"/>
    <n v="44559.563999999998"/>
    <n v="44559.563999999998"/>
  </r>
  <r>
    <s v="BARRANQUILLA"/>
    <x v="5"/>
    <x v="5"/>
    <n v="8436"/>
    <s v="LC-CS-25-000115"/>
    <n v="54295"/>
    <s v="ORDEN DE CAMBIO"/>
    <s v="ATLANTICO"/>
    <s v="MANATI"/>
    <s v="PTM MANATI PAPELERIA JC &amp; NA"/>
    <s v="REDEBAN"/>
    <s v="FO-25-1410403"/>
    <d v="2025-08-22T13:30:00"/>
    <d v="2025-08-25T15:14:00"/>
    <m/>
    <s v="CIERRE"/>
    <s v="RECUPERACION DE EQUIPOS"/>
    <s v="AGREGADOR"/>
    <s v="COMCARD - PTM"/>
    <s v="NO_EXITOSO"/>
    <s v="CB NO ENTREGA EQUIPO"/>
    <s v="23/08/2025 EN COMUNICACIÓN CON LA SRA ADRIANA BADILLO AL NÚMERO 3215116269 NOS CONFIRMA LA SOLICITUD, NOS INDICA QUE LA DIRECCIÓN PARA LA RECOLECCIÓN DE LOS EQUIPOS ES CALLE 5A 39 194 OFICINA 702 MEDELLIN BARRIO POBLADO | 25/08/2025 SE REALIZA VISITA TÉCNICA, NO SE CONSIGUE LOS EQUIPOS EN SITIO, CLIENTE INDICA QUE LOS ENVÍO A PTM A LA CIUDAD DE MEDELLÍN."/>
    <s v="VISITA_TÉCNICA"/>
    <s v="NO SE TIENE EL DATO "/>
    <s v="TIPO II"/>
    <s v="TERRESTRE"/>
    <s v="DE AGUAS MUÑOZ DAVID JOSE"/>
    <n v="1"/>
    <n v="134410.88400000002"/>
    <n v="134410.88400000002"/>
  </r>
  <r>
    <s v="BOGOTA"/>
    <x v="3"/>
    <x v="3"/>
    <n v="11001"/>
    <s v="LC-CS-25-000092"/>
    <n v="69346"/>
    <s v="ORDEN DE CAMBIO"/>
    <s v="CUNDINAMARCA"/>
    <s v="BOGOTA"/>
    <s v="BARRIO VIRREY BOGOTA 5"/>
    <s v="REDEBAN"/>
    <s v="FO-25-1397915"/>
    <d v="2025-08-20T14:00:00"/>
    <d v="2025-08-25T16:34:00"/>
    <m/>
    <s v="CIERRE"/>
    <s v="RECUPERACION DE EQUIPOS"/>
    <s v="CB UNO A UNO"/>
    <s v="CB UNO A UNO"/>
    <s v="ILOCALIZADO"/>
    <s v="CB CERRADO - DESOCUPADO"/>
    <s v="21/08/2025 NO CONTACTADO | 25/08/2025 SE LLEGA A DIRECCIÓN PARA RETIRO DE EQUIPOS ESTÁ CERRADO SE INTENTA CONTACTO AL NÚMERO 3204130173 NADIE CONTESTA SE DEJA REGISTRO FOTOGRÁFICO"/>
    <s v="VISITA_TÉCNICA"/>
    <n v="0"/>
    <s v="TIPO I"/>
    <s v="TERRESTRE"/>
    <s v="BUSTOS MORA DIEGO MANUEL"/>
    <n v="1"/>
    <n v="44559.563999999998"/>
    <n v="44559.563999999998"/>
  </r>
  <r>
    <s v="MEDELLIN"/>
    <x v="0"/>
    <x v="0"/>
    <n v="5660"/>
    <s v="LC-CS-25-000055"/>
    <n v="78762"/>
    <s v="ORDEN DE CAMBIO"/>
    <s v="ANTIOQUIA"/>
    <s v="SAN LUIS"/>
    <s v="DISTRICOL TECNOMARCAS"/>
    <s v="REDEBAN"/>
    <s v="FO-25-1392593"/>
    <d v="2025-08-19T14:17:00"/>
    <d v="2025-08-26T10:18:00"/>
    <m/>
    <s v="CIERRE"/>
    <s v="CIERRE"/>
    <s v="AGREGADOR"/>
    <s v="DISTRICOL"/>
    <s v="ILOCALIZADO"/>
    <s v="CB CERRADO - DESOCUPADO"/>
    <s v="19/08/2025 SE INENTA COMUICACIÓN AL NÚMERO 3507753783, NO HAY CONTACTO. SE INTENTARÁ NUEVAMENTE | 20/08/2025 SE INENTA COMUICACIÓN AL NÚMERO 3507753783, NO HAY CONTACTO. SE INTENTARÁ NUEVAMENTE | 20/08/2025 SE INTENTA COMUNICACIÓN AL NÚMERO 3507753783, NO HAY CONTACTO, NÚMERO SUSPENDIDO | 22/08/2025 SE PRESENTA NOVEDAD EN LA VÍA POR DERRUMBES Y UN CAMIÓN VOLCADO, NO HAY PASO EN LA AUTOPISTA MEDELLIN-BOGOTA. VISITA SE POSPONE PARA LA PROXIMA SEMANA QUE SE NORMALICE LA SITUACIÓN. | 25/08/2025 SE LLEGA AL SITIO SE ENCUENTRA CERRADO SE INTENTA COMUNICACIÓN CON EL CLIENTE Y NI FUE POSIBLE. SE REGRESA EN LA NOCHE Y SIGUE CERRADO EL COMERCIO"/>
    <s v="VISITA_TÉCNICA"/>
    <s v="SXRZZ986"/>
    <s v="TIPO III"/>
    <s v="TERRESTRE"/>
    <s v="ZAPATA LOPEZ EDWARD ASDRUBAL"/>
    <n v="1"/>
    <n v="222904.07200000001"/>
    <n v="222904.07200000001"/>
  </r>
  <r>
    <s v="SANTA MARTA"/>
    <x v="5"/>
    <x v="5"/>
    <n v="44430"/>
    <s v="LC-CS-25-000007"/>
    <n v="68485"/>
    <s v="ORDEN DE CAMBIO"/>
    <s v="LA GUAJIRA"/>
    <s v="MAICAO"/>
    <s v="DISTRICOL TIENDA Y&amp;A"/>
    <s v="REDEBAN"/>
    <s v="FO-25-1380449"/>
    <d v="2025-08-15T11:36:00"/>
    <d v="2025-08-26T10:25:00"/>
    <m/>
    <s v="CIERRE"/>
    <s v="CIERRE"/>
    <s v="AGREGADOR"/>
    <s v="DISTRICOL"/>
    <s v="NO_EXITOSO"/>
    <s v="CB NO ENTREGA EQUIPO"/>
    <s v="15/08/2025 EN COMUNICACIÓN CON EL SEÑOR JUAN FERNANDO YEPES ALZATE AL NÚMERO 3207960856 NOS CONFRIMA SOLICITUD,  DATOS CORRECTOS. SE ESCALA PARA VISITA | 25/08/2025 COLABORADOR EN DESPLAZAMIENTO A MAICAO, SE PRESENTA RETRASO POR BLOQUEOS PARCIALES EN LA VIA DESDE SANTA MARTA | 26/08/2025 SE REALIZA LA VISITA, EL USUARIO INRMA QUE YA ENVÍO LOS EQUIPOS A MEDELLÍN A LA DIRECCIÓN CRA 30 # 8B -25, EDIFICIO SAN ESTEBAN POBLADO MEDELLIN_x000a_EL CLIENTE INFORMA QUE SE COMUNICÓ CON SILVANA MARULANDA_x000a_TEL:3028618037_x000a_CORREO:SILVANA1017DISTRIVOL@GMAIL.COM_x000a__x000a_EL CLIENTE ENVIÓ EL DATÁFONO Y LA LECTORA LA SEMANA PASADA"/>
    <s v="VISITA_TÉCNICA"/>
    <n v="0"/>
    <s v="TIPO IV"/>
    <s v="TERRESTRE"/>
    <s v="THOMAS  CAMPO SIGIFREDO SEGUNDO"/>
    <n v="1"/>
    <n v="464809.36800000002"/>
    <n v="464809.36800000002"/>
  </r>
  <r>
    <s v="MEDELLIN"/>
    <x v="0"/>
    <x v="0"/>
    <n v="5266"/>
    <s v="LC-CS-25-000145"/>
    <n v="64680"/>
    <s v="ORDEN DE CAMBIO"/>
    <s v="ANTIOQUIA"/>
    <s v="ENVIGADO"/>
    <s v="DISTRICOL DROGUERIA AMERICANA"/>
    <s v="REDEBAN"/>
    <s v="FO-25-1424061"/>
    <d v="2025-08-26T08:00:00"/>
    <d v="2025-08-26T12:16:00"/>
    <m/>
    <s v="CIERRE"/>
    <s v="CIERRE"/>
    <s v="AGREGADOR"/>
    <s v="DISTRICOL"/>
    <s v="NO_EXITOSO"/>
    <s v="CB NO ENTREGA EQUIPO"/>
    <s v="26/08/2025 EN COMUNICACIÓN CON LA SRA DAIELA ESTEFANY OSPINA USME AL NÚMERO 3128939185 NOS CONFIRMA LA SOLICITUD, DATOS CORRECTOS. SE ESCALA PARA VISITA | 26/08/2025 SE LLEGA A DIRECCIÓN NOS INDICAN QUE EL DÍA DE HOY NO PUEDEN ENTREGAR EL DATÁFONO YA QUE EL DUEÑO NO SE ENCUENTRA EL EMPLEADO NOS INDICA QUE NO PUEDE FIRMAR NI ENTREGAR INFORMACIÓN ADICIONAL"/>
    <s v="VISITA_TÉCNICA"/>
    <s v="3A003057"/>
    <s v="TIPO I"/>
    <s v="TERRESTRE"/>
    <s v="CASTAÑEDA PALACIO CARLOS FELIPE"/>
    <n v="1"/>
    <n v="44559.563999999998"/>
    <n v="44559.563999999998"/>
  </r>
  <r>
    <s v="BARRANQUILLA"/>
    <x v="5"/>
    <x v="5"/>
    <n v="8758"/>
    <s v="LC-CS-25-000054"/>
    <n v="47346"/>
    <s v="ORDEN DE CAMBIO"/>
    <s v="ATLANTICO"/>
    <s v="SOLEDAD"/>
    <s v="PTM DROGUERIA LOS ALMENDROS TR"/>
    <s v="REDEBAN"/>
    <s v="FO-25-1392562"/>
    <d v="2025-08-19T14:17:00"/>
    <d v="2025-08-26T13:40:00"/>
    <m/>
    <s v="CIERRE"/>
    <s v="CIERRE"/>
    <s v="AGREGADOR"/>
    <s v="COMCARD - PTM"/>
    <s v="NO_EXITOSO"/>
    <s v="CB NO ENTREGA EQUIPO"/>
    <s v="19/08/2025 SE INTENTA COMUNICACIÓN CON EL NÚMERO 3008154381 SUENA PERO NO HAY CONTACTO. SE INTENTARÁ NUEVAMENTE | 20/08/2025 SE REALIZA GESTIÓN TELEFÓNICA Y CLIENTE INDICA QUE EL SE COMUNICA CON LA LINEA DE ATENCIÓN A EL CLIENTE PARA PROGRAMAR LA ENTREGA DE LOS EQUIPOS. | 26/08/2025 SE REALIZA GESTIÓN TELEFÓNICA Y CLIENTE INDICA QUE EL SE COMUNICA CON LA LINEA DE ATENCIÓN A EL CLIENTE PARA PROGRAMAR LA ENTREGA DE LOS EQUIPOS."/>
    <s v="SOPORTE_TELEFÓNICO"/>
    <n v="0"/>
    <s v="TIPO I"/>
    <s v="TERRESTRE"/>
    <s v="DE AGUAS MUÑOZ DAVID JOSE"/>
    <n v="0"/>
    <n v="37904.612000000001"/>
    <n v="37904.612000000001"/>
  </r>
  <r>
    <s v="CALI"/>
    <x v="1"/>
    <x v="1"/>
    <n v="76109"/>
    <s v="LC-CS-25-000106"/>
    <n v="76884"/>
    <s v="ORDEN DE CAMBIO"/>
    <s v="VALLE DEL CAUCA"/>
    <s v="BUENAVENTURA"/>
    <s v="BARRIO BAHIA MALAGA"/>
    <s v="REDEBAN"/>
    <s v="FO-25-1406218"/>
    <d v="2025-08-22T08:00:00"/>
    <d v="2025-08-26T13:47:00"/>
    <m/>
    <s v="CIERRE"/>
    <s v="RECUPERACION DE EQUIPOS"/>
    <s v="CB UNO A UNO"/>
    <s v="CB UNO A UNO"/>
    <s v="NO_EXITOSO"/>
    <s v="PARCIAL EXITOSO PTE. DATAFONO"/>
    <s v="22/08/2025 EN COMUNICACIÓN CON LA SRA LIZZETH MIREYA ARRECHEA  AL NÚMERO 3163776668 NOS CONFIRMA LA SOLICITUD, NOS INDICA QUE LA DIRECCIÓN PARA LA RECOLECCIÓN DE LOS EQUIPOS ES CL 7 # 44 51 BARRIO MIRAFLORES. SE ESCALA PARA VISITA, POR FAVOR LLAMAR ANTES DE DESPLAZARSE | 26/08/2025 SE LLAMA AL CLIENTE Y SE VÁLIDA LA RECUPERACIÓN DE SOLO LA LECTORA EN LA DIRECCIÓN INDICADA EN BUENAVENTURA, SE VISITA EL COMERCIO, RETIRO SOLO LECTORA SYMBOL EN BUEN ESTADO YA EL CLIENTE HABÍA ENTREGADO LOS OTROS EQUIPOS Y PUBLICIDAD"/>
    <s v="VISITA_TÉCNICA"/>
    <s v="A16ZZ183"/>
    <s v="TIPO III"/>
    <s v="TERRESTRE"/>
    <s v="HERRERA MONAR GEOVANNY"/>
    <n v="1"/>
    <n v="222904.07200000001"/>
    <n v="222904.07200000001"/>
  </r>
  <r>
    <s v="BOGOTA"/>
    <x v="3"/>
    <x v="3"/>
    <n v="11001"/>
    <s v="LC-CS-25-000149"/>
    <n v="64871"/>
    <s v="ORDEN DE CAMBIO"/>
    <s v="CUNDINAMARCA"/>
    <s v="BOGOTA"/>
    <s v="PTM BOGOTA DISTRIBUIDORA DE VI"/>
    <s v="REDEBAN"/>
    <s v="FO-25-1424028"/>
    <d v="2025-08-26T08:00:00"/>
    <d v="2025-08-27T09:09:00"/>
    <m/>
    <s v="CIERRE"/>
    <s v="CIERRE"/>
    <s v="AGREGADOR"/>
    <s v="COMCARD - PTM"/>
    <s v="ILOCALIZADO"/>
    <s v="CB CERRADO - DESOCUPADO"/>
    <s v="26/08/2025 EN COMUNICACIÓN CON EL SR WILMER MANUEL CELEITA CLAVIJO AL NÚMERO 3213719899 NOS CONFIRMA LA SOLICITUD, DATOS CORRECTOS. SE ESCALA PARA VISITA, POR FAVOR LLAMAR ANTES DE DESPLAZARSE | 26/08/2025 SE LLEGA A DIRECCIÓN PARA RETIRO DE EQUIPOS LA NO HAY NÚMERO DE TORRE O APARTAMENTO Y NO ES EN LA TIENDA DE INTENTA CONTACTO AL NÚMERO 3213719899 NO CONTESTAN SE DEJA REGISTRO FOTOGRÁFICO"/>
    <s v="VISITA_TÉCNICA"/>
    <n v="0"/>
    <s v="TIPO I"/>
    <s v="TERRESTRE"/>
    <s v="BUSTOS MORA DIEGO MANUEL"/>
    <n v="1"/>
    <n v="44559.563999999998"/>
    <n v="44559.563999999998"/>
  </r>
  <r>
    <s v="MEDELLIN"/>
    <x v="0"/>
    <x v="0"/>
    <n v="5001"/>
    <s v="LC-CS-25-000086"/>
    <n v="75311"/>
    <s v="ORDEN DE CAMBIO"/>
    <s v="ANTIOQUIA"/>
    <s v="MEDELLIN"/>
    <s v="BARRIO CENTRO MEDELLIN  103"/>
    <s v="REDEBAN"/>
    <s v="FO-25-1419905 | FO-25-1397920"/>
    <d v="2025-08-20T14:00:00"/>
    <d v="2025-08-27T09:33:00"/>
    <m/>
    <s v="CIERRE"/>
    <s v="CIERRE"/>
    <s v="CB UNO A UNO"/>
    <s v="CB UNO A UNO"/>
    <s v="ILOCALIZADO"/>
    <s v="CB CERRADO - DESOCUPADO"/>
    <s v="20/08/2025 EN COMUNICACIÓN CON LA SRA YENIFER VANESA GOMEZ AL NÚMERO 3128807653 NOS CONFIRMA LA SOLICITUD, NOS INDICA QUE LA DIRECCIÓN PARA LA RECOLECCIÓN DE LOS EQUIPOS ES CL 56 41 170 APTO 503. SE ESCALA PARA VISITA | 25/08/2025 YENNIFER GÓMEZ MANIFIESTA QUE PARA MAÑANA SE PODRÍA PASAR POR LOS EQUIPOS, RECLAMARLOS EN PORTERÍA._x000a_27/08/2025 USUARIO NO SE ENCUENTRA, NADIE QUE PUEDA ENTREGAR, SE CONSULTA CON EL CELADOR DE LA PORTERÍA EL CUAL INFORMA NO TENER INFORMACIÓN SOBRE LOS EQUIPOS"/>
    <s v="VISITA_TÉCNICA"/>
    <n v="0"/>
    <s v="TIPO I"/>
    <s v="TERRESTRE"/>
    <s v="HERNANDEZ CHAVARRIA JUAN CAMILO"/>
    <n v="2"/>
    <n v="44559.563999999998"/>
    <n v="89119.127999999997"/>
  </r>
  <r>
    <s v="BOGOTA"/>
    <x v="3"/>
    <x v="3"/>
    <n v="11001"/>
    <s v="LC-CS-25-000090"/>
    <n v="57327"/>
    <s v="ORDEN DE CAMBIO"/>
    <s v="CUNDINAMARCA"/>
    <s v="BOGOTA"/>
    <s v="BARRIO PINAR BOGOTA"/>
    <s v="REDEBAN"/>
    <s v="FO-25-1420056 | FO-25-1397900"/>
    <d v="2025-08-20T14:00:00"/>
    <d v="2025-08-27T15:30:00"/>
    <m/>
    <s v="CIERRE"/>
    <s v="RECUPERACION DE EQUIPOS"/>
    <s v="CB UNO A UNO"/>
    <s v="CB UNO A UNO"/>
    <s v="NO_EXITOSO"/>
    <s v="CB NO ENTREGA EQUIPO"/>
    <s v="27/08/2025 SE INTENTA COMUNICACIÓN A LOS NÚMEROS 3102951644-3203334439 PERO NO HAY CONTACTO. SE INTENTARÁ NUEVAMENTE | 21/08/2025 EN COMUNICACIÓN CON EL SR DAVID MORENO AL NÚMERO 3102951644 NOS CONFIRMA LA SOLICITUD, DATOS CORRECTOS. SE ESCALA PARA VISITA | 25/08/2025 SE REALIZA VISITA A COMERCIO ATENDIER LA SRA. MARIANA ROJAS QUIEN INDICA QUE LA PERSONA ENCARGADA DE LOS EQUIPOS LOS TIENE BAJO LLAVE, SOLICITA REALIZAR VISITA EL DÍA MIÉRCOLES 27-08-2025._x000a_27/08/2025 SE REALIZA CONTACTO VÍA WHATSAPP CON EL SR. DAVID MORENO QUIEN INFORMA QUE NO ESTÁ EL DÍA DE HOY EN EL COMERCIO, SOLICITA PASAR EL DÍA VIERNES A RECOGER LOS EQUIPOS, SE LE ENVÍA LISTADO DE PLACAS A ENTREGAR."/>
    <s v="VISITA_TÉCNICA"/>
    <s v="TRSZZ894"/>
    <s v="TIPO I"/>
    <s v="TERRESTRE"/>
    <s v="MURCIA HERNANDEZ HARVEY IGNACIO"/>
    <n v="1"/>
    <n v="44559.563999999998"/>
    <n v="44559.563999999998"/>
  </r>
  <r>
    <s v="BOGOTA"/>
    <x v="3"/>
    <x v="3"/>
    <n v="11001"/>
    <s v="TA-25-1034478"/>
    <n v="36751"/>
    <s v="ORDEN DE CAMBIO"/>
    <s v="CUNDINAMARCA"/>
    <s v="BOGOTA"/>
    <s v="REVAL ENGATIVA"/>
    <s v="REDEBAN"/>
    <s v="FO-25-1433937"/>
    <d v="2025-08-27T12:23:00"/>
    <d v="2025-08-28T07:39:00"/>
    <m/>
    <s v="CIERRE"/>
    <s v="RETIRO VOLUNTARIO"/>
    <s v="ROBUSTO"/>
    <s v="REVAL"/>
    <s v="NO_EXITOSO"/>
    <s v="PARCIAL EXITOSO PTE. DATAFONO"/>
    <s v="27/08/2025 SE REALIZA RETIRO DE DATAFONO,LECTOR DE BARRAS Y PINPAD, NO ENTREGA HUB, LOS EQUIPOS SON BACKUP DEL CB ROBUSTO."/>
    <s v="VISITA_TÉCNICA"/>
    <s v="AB00G058"/>
    <s v="TIPO I"/>
    <s v="TERRESTRE"/>
    <s v="MURCIA HERNANDEZ HARVEY IGNACIO"/>
    <n v="1"/>
    <n v="44559.563999999998"/>
    <n v="44559.563999999998"/>
  </r>
  <r>
    <s v="BOGOTA"/>
    <x v="3"/>
    <x v="3"/>
    <n v="25398"/>
    <s v="LC-CS-25-000116"/>
    <n v="61075"/>
    <s v="ORDEN DE CAMBIO"/>
    <s v="CUNDINAMARCA"/>
    <s v="LA PEÑA"/>
    <s v="PTM LA PEÑA PUNTO MODA J.G CR"/>
    <s v="REDEBAN"/>
    <s v="FO-25-1410419"/>
    <d v="2025-08-22T13:30:00"/>
    <d v="2025-08-28T15:23:00"/>
    <m/>
    <s v="CIERRE"/>
    <s v="RECUPERACION DE EQUIPOS"/>
    <s v="AGREGADOR"/>
    <s v="COMCARD - PTM"/>
    <s v="ILOCALIZADO"/>
    <s v="CB CERRADO - DESOCUPADO"/>
    <s v="22/08/2025 EN COMUNICACIÓN CON LA SRA ADRIANA BADILLO AL NÚMERO 3215116269 NOS CONFIRMA LA SOLICITUD, NOS INDICA QUE LA DIRECCIÓN PARA LA RECOLECCIÓN DE LOS EQUIPOS ES CALLE 5A 39 194 OFICINA 702 MEDELLIN BARRIO POBLADO | 28/08/2025 SE VISITA MUNICIO LA PEÑA CUNDINAMARCA PARA CIERRE DE PUNTO  AL LLEGAR A LA DIRECCIÓN CALLE 5A#39-194 ESTÁ NO EXISTE EN EL MUNICIPIO PUESTO QUE SOLO CUENTA CON DOS CARRERAS SE VÁLIDA CON COMERCIANTES DEL PUEBLO QUIENES DESCONOCEN AL TITULAR DE LA ORDEN SE INTENTA COMUNICACIÓN TELEFÓNICA A LA LÍNEA 3215116269 DONDE CLIENTE CONFIRMA QUE LA DIRECCIÓN ESTÁ BIEN PERO PERTENECE A MEDELLÍN Y LOS EQUIPOS LOS POSEE PTM , SE PROCEDE A DILIGENCIA FORMATO ILOCALIZABLE Y SE FINALIZA ACTIVIDAD POR DIRECCIÓN NO EXISTENTE"/>
    <s v="VISITA_TÉCNICA"/>
    <n v="0"/>
    <s v="TIPO III"/>
    <s v="TERRESTRE"/>
    <s v="ROMERO ROJAS BREIDY JHOHAN"/>
    <n v="1"/>
    <n v="222904.07200000001"/>
    <n v="222904.07200000001"/>
  </r>
  <r>
    <s v="APARTADO"/>
    <x v="0"/>
    <x v="0"/>
    <n v="5045"/>
    <s v="LC-CS-25-000139"/>
    <n v="41725"/>
    <s v="ORDEN DE CAMBIO"/>
    <s v="ANTIOQUIA"/>
    <s v="APARTADO"/>
    <s v="BARRIO LAURELES APARTADO"/>
    <s v="REDEBAN"/>
    <s v="FO-25-1435254 | FO-25-1424276"/>
    <d v="2025-08-25T08:00:00"/>
    <d v="2025-08-28T15:49:00"/>
    <m/>
    <s v="CIERRE"/>
    <s v="CIERRE"/>
    <s v="CB UNO A UNO"/>
    <s v="CB UNO A UNO"/>
    <s v="NO_EXITOSO"/>
    <s v="CB NO ENTREGA EQUIPO"/>
    <s v="26/08/2025 EN COMUNICACIÓN CON EL SR ELOY CÁRDENAS ARTEAGA AL NÚMERO 3135279633 NOS CONFIRMA LA SOLICITUD, DATOS CORRECTOS. SE ESCALA PARA VISITA_x000a_28/08/2025 CLIENTE INDICA QUE YA ENTREGO DATAFONO CON SUS PERIFECOS"/>
    <s v="VISITA_TÉCNICA"/>
    <s v="AA0UZ924"/>
    <s v="TIPO I"/>
    <s v="TERRESTRE"/>
    <s v="CASTRO HENAO DANIEL ESTEBAN"/>
    <n v="1"/>
    <n v="44559.563999999998"/>
    <n v="44559.563999999998"/>
  </r>
  <r>
    <s v="PEREIRA"/>
    <x v="1"/>
    <x v="6"/>
    <n v="63594"/>
    <s v="LC-CS-25-000151"/>
    <n v="67248"/>
    <s v="ORDEN DE CAMBIO"/>
    <s v="QUINDIO"/>
    <s v="QUIMBAYA"/>
    <s v="DISTRICOL RC RODRIGUEZ LACTEOS"/>
    <s v="REDEBAN"/>
    <s v="FO-25-1424075"/>
    <d v="2025-08-26T08:00:00"/>
    <d v="2025-08-29T10:57:00"/>
    <m/>
    <s v="CIERRE"/>
    <s v="CIERRE"/>
    <s v="AGREGADOR"/>
    <s v="DISTRICOL"/>
    <s v="NO_EXITOSO"/>
    <s v="CB NO ENTREGA EQUIPO"/>
    <s v="26/08/2025 SE INTENTA COMUICACIÓN AL NÚMERO 3124522720 SE ENCUENTRA APAGADO. SE INTENTARÁ NUEVAMENTE | 26/08/2025 SE INTENTA COMUICACIÓN AL NÚMERO 3124522720 SE ENCUENTRA APAGADO. SE INTENTARÁ NUEVAMENTE | 26/08/2025 SE INTENTA COMUICACIÓN AL NÚMERO 3124522720 SE ENCUENTRA APAGADO | 29/08/2025 SE VISITA DIRECCIÓN SE VÁLIDA CON PROPIETARIO NUEVO HE INDICA QUE EL ANTIGUO DUEÑO YA HABÍA ENTREGADO LOS EQUIPOS, SE LLAMA AL CONTACTO Y EL CLIENTE COMENTA QUE YA LOS EQUIPOS LOS HABÍA ENTREGADO AL ENCARGADO DE DISTRICOL."/>
    <s v="VISITA_TÉCNICA"/>
    <s v="AAJ05702"/>
    <s v="TIPO II"/>
    <s v="TERRESTRE"/>
    <s v="SANCHEZ SOLORZANO JUAN SEBASTIAN"/>
    <n v="1"/>
    <n v="134410.88400000002"/>
    <n v="134410.88400000002"/>
  </r>
  <r>
    <s v="BOGOTA"/>
    <x v="3"/>
    <x v="3"/>
    <n v="11001"/>
    <s v="LC-CS-25-000157"/>
    <n v="36751"/>
    <s v="ORDEN DE CAMBIO"/>
    <s v="CUNDINAMARCA"/>
    <s v="BOGOTA"/>
    <s v="REVAL ENGATIVA"/>
    <s v="REDEBAN"/>
    <s v="FO-25-1430297"/>
    <d v="2025-08-26T08:00:00"/>
    <d v="2025-08-29T12:40:00"/>
    <m/>
    <s v="CIERRE"/>
    <s v="RECUPERACION DE EQUIPOS"/>
    <s v="ROBUSTO"/>
    <s v="REVAL"/>
    <s v="SOLICITUD_CANCELADA"/>
    <s v="NO TIENE INVENTARIO ACTIVO"/>
    <s v="27/08/2025 EN COMUNICACIÓN CON LA SRA YUDY ORTIZ AL NÚMERO 3208956660  NOS CONFIRMA LA SOLICITUD, DATOS CORRECTOS. SE ESCALA PARA VISITA, POR FAVOR LLAMAR ANTES DE DESPLAZARSE | 28/08/2025 SE VISITA COMERCIO CB BANCOLOMBIA ROBUSTO PERO LA SRA YUDI INDICA QUE EL DÍA ANTERIOR (27 DE AGOSTO 2025) EL TÉCNICO HARVEY MURCIA REALIZO LA ACTUALIZACIÓN DE LOS EQUIPOS POR LO QUE ÉL YA RETIRO TODOS LOS EQUIPOS QUE TENÍAN PARA DEVOLVER DE ESE PUNTO, SE TOMAN EVIDENCIAS DE LA VISITA Y NOS RETIRAMOS DEL PUNTO, NO SE MANIPULAN EQUIPOS."/>
    <s v="VISITA_TÉCNICA"/>
    <s v="NONE"/>
    <s v="TIPO I"/>
    <s v="TERRESTRE"/>
    <s v="VEGA MANRIQUE JONATAN MAURICIO"/>
    <n v="1"/>
    <n v="44559.563999999998"/>
    <n v="44559.563999999998"/>
  </r>
  <r>
    <s v="CALI"/>
    <x v="1"/>
    <x v="1"/>
    <n v="76834"/>
    <s v="LC-CS-25-000166"/>
    <n v="10782"/>
    <s v="ORDEN DE CAMBIO"/>
    <s v="VALLE DEL CAUCA"/>
    <s v="TULUA"/>
    <s v="BARRIO SAMAN DEL NORTE - TULUA"/>
    <s v="REDEBAN"/>
    <s v="FO-25-1430271"/>
    <d v="2025-08-26T08:00:00"/>
    <d v="2025-08-29T16:00:00"/>
    <m/>
    <s v="CIERRE"/>
    <s v="RECUPERACION DE EQUIPOS"/>
    <s v="CB UNO A UNO"/>
    <s v="CB UNO A UNO"/>
    <s v="NO_EXITOSO"/>
    <s v="CB NO ENTREGA EQUIPO"/>
    <s v="27/08/2025 EN COMUNICACIÓN CON LA SRA DIANA ALCALDE AL NÚMERO 3106811315 NOS CONFIRMA LA SOLICITUD, DATOS CORRECTOS. SE ESCALA PARA VISITA | 29/08/2025 SE VISITA ESTABLECIMIENTO, CLIENTE NO DISPONE DE EQUIPOS NI PUBLICIDAD. DICE NO RECUERDA UBICACIÓN O HABERLOS TENIDO"/>
    <s v="VISITA_TÉCNICA"/>
    <s v="NO APLICA "/>
    <s v="TIPO II"/>
    <s v="TERRESTRE"/>
    <s v="BOLAÑOS TABORDA JORGE ENRIQUE"/>
    <n v="1"/>
    <n v="134410.88400000002"/>
    <n v="134410.88400000002"/>
  </r>
  <r>
    <s v="MEDELLIN"/>
    <x v="0"/>
    <x v="0"/>
    <n v="5308"/>
    <s v="LC-CS-25-000179"/>
    <n v="29502"/>
    <s v="ORDEN DE CAMBIO"/>
    <s v="ANTIOQUIA"/>
    <s v="GIRARDOTA"/>
    <s v="BARRIO 0 GIRARDOTA"/>
    <s v="REDEBAN"/>
    <s v="FO-25-1442661"/>
    <d v="2025-08-28T16:50:00"/>
    <d v="2025-08-30T16:28:00"/>
    <m/>
    <s v="CIERRE"/>
    <s v="CIERRE"/>
    <s v="CB UNO A UNO"/>
    <s v="CB UNO A UNO"/>
    <s v="NO_EXITOSO"/>
    <s v="CB NO ENTREGA EQUIPO"/>
    <s v="29/08/2025 SE INTENTA COMUNICACIÓN A LOS NÚMEROS 2897707-3104605936 SUENA PERO NO HAY CONTACTO. SE INTENTARÁ NUEVAMENTE | 29/08/2025 SE INTENTA COMUNICACIÓN A LOS NÚMEROS 2897707-3104605936 SUENA PERO NO HAY CONTACTO. SE INTENTARÁ NUEVAMENTE | 29/08/2025 SE INTENTA COMUNICACIÓN A LOS NÚMEROS 2897707-3104605936 SUENA PERO NO HAY CONTACTO | 30/08/2025 SE COMUNICA CON EL USUARIO PARA LA RECOGIDA DE LOS EQUIPOS HE INDICA QUE NO ESTÁ DISPONIBLE EL DÍA DE HOY SÁBADO PERO QUE YA SOLUCIONO LO DEL CORRESPONSAL BANCARIO Y QUE SE LO VUELVEN A HABILITAR LA PRÓXIMA SEMANA"/>
    <s v="SOPORTE_TELEFÓNICO"/>
    <n v="0"/>
    <s v="TIPO I"/>
    <s v="TERRESTRE"/>
    <s v="ZAPATA LOPEZ EDWARD ASDRUBAL"/>
    <n v="0"/>
    <n v="37904.612000000001"/>
    <n v="37904.612000000001"/>
  </r>
  <r>
    <s v="BOGOTA"/>
    <x v="3"/>
    <x v="3"/>
    <n v="11001"/>
    <s v="LC-CS-25-000201"/>
    <n v="32053"/>
    <s v="ORDEN DE CAMBIO"/>
    <s v="CUNDINAMARCA"/>
    <s v="BOGOTA"/>
    <s v="BARRIO RESTREPO 13 BOGOTA"/>
    <s v="REDEBAN"/>
    <s v="FO-25-1442717"/>
    <d v="2025-08-28T16:50:00"/>
    <d v="2025-08-30T16:31:00"/>
    <m/>
    <s v="CIERRE"/>
    <s v="CIERRE"/>
    <s v="CB UNO A UNO"/>
    <s v="CB UNO A UNO"/>
    <s v="NO_EXITOSO"/>
    <s v="CB NO ENTREGA EQUIPO"/>
    <s v="29/08/2025 EN COMUNICACIÓN CON LA SRA DIANA VIRGINIA DAZA RAMIREZ AL NÚMERO 3142711836 NOS CONFIRMA LA SOLICITUD, NOS INDICA QUE LA DIRECCIÓN PARA LA RECOLECCIÓN DE LOS EQUIPOS ES CL 31 C SUR # 6 C 22 F. SE ESCALA PARA VISITA, POR FAVOR LLAMAR ANTES DE DESPLAZARSE | 30/08/2025 SE LLEGA AL COMERCIO SE VALÍA CERRADO SE MARCA EL NÚMERO DE CONTACTO 3142711836 CLIENTE INFORMA QUE NO PUEDE ATENDER EL DÍA DE HOY"/>
    <s v="VISITA_TÉCNICA"/>
    <n v="0"/>
    <s v="TIPO I"/>
    <s v="TERRESTRE"/>
    <s v="GOMEZ VEGA DAVID SNEYDER"/>
    <n v="1"/>
    <n v="44559.563999999998"/>
    <n v="44559.563999999998"/>
  </r>
  <r>
    <s v="BOGOTA"/>
    <x v="3"/>
    <x v="3"/>
    <n v="11001"/>
    <s v="LC-CS-25-000204"/>
    <n v="46874"/>
    <s v="ORDEN DE CAMBIO"/>
    <s v="CUNDINAMARCA"/>
    <s v="BOGOTA"/>
    <s v="BARRIO ESTANCIA BOGOTA 3"/>
    <s v="REDEBAN"/>
    <s v="FO-25-1442705"/>
    <d v="2025-08-28T16:50:00"/>
    <d v="2025-08-30T16:35:00"/>
    <m/>
    <s v="CIERRE"/>
    <s v="RECUPERACION DE EQUIPOS"/>
    <s v="CB UNO A UNO"/>
    <s v="CB UNO A UNO"/>
    <s v="ILOCALIZADO"/>
    <s v="CB CERRADO - DESOCUPADO"/>
    <s v="29/08/2025 EN COMUNICACIÓN CON LA SRA CARMEN PINEDA AL NÚMERO 3223113921 NOS CONFRIMA LA SOLICITUD, DATOS CORRECTOS. SE ESCALA PARA VISITA, POR FAVOR LLAMAR ANTES DE DESPLAZARSE | 30/08/2025 DURANTE LA VISITA DE TECNICA PARA ATENDER CIERRE DE CORRESPONSAL BANCARIO LO CUAL NO ES POSIBLE PORQUE COMERCIO SE ENCUENTRA CERRADO Y NO SE EVIDENCIA LA EXISTENCIA DEL CB  SE LLAMA AL CELULAR 3223113921 EL CUAL SE ENCUENTRA APAGADO SE PROCEDE AL CIERRE DE LA ACTIVIDAD"/>
    <s v="VISITA_TÉCNICA"/>
    <n v="0"/>
    <s v="TIPO I"/>
    <s v="TERRESTRE"/>
    <s v="GALEANO SORIANO JUAN DAVID"/>
    <n v="1"/>
    <n v="44559.563999999998"/>
    <n v="44559.563999999998"/>
  </r>
  <r>
    <s v="BOGOTA"/>
    <x v="3"/>
    <x v="3"/>
    <n v="11001"/>
    <s v="LC-CS-25-000202"/>
    <n v="38177"/>
    <s v="ORDEN DE CAMBIO"/>
    <s v="CUNDINAMARCA"/>
    <s v="BOGOTA"/>
    <s v="BARRIO ZARAZOTA BOGOTA"/>
    <s v="REDEBAN"/>
    <s v="FO-25-1442612"/>
    <d v="2025-08-28T16:50:00"/>
    <d v="2025-08-30T16:41:00"/>
    <m/>
    <s v="CIERRE"/>
    <s v="CIERRE"/>
    <s v="CB UNO A UNO"/>
    <s v="CB UNO A UNO"/>
    <s v="ILOCALIZADO"/>
    <s v="CB CERRADO - DESOCUPADO"/>
    <s v="29/08/2025 SE INTENTA COMUNICACIÓN AL NÚMERO 5678235-3123456788 APAGADO. SE INTENTARÁ NUEVAMENTE | 29/08/2025 SE INTENTA COMUNICACIÓN AL NÚMERO 5678235-3123456788 APAGADO. SE INTENTARÁ NUEVAMENTE | 29/08/2025 SE INTENTA COMUNICACIÓN AL NÚMERO 5678235-3123456788 APAGADO | 30/08/2025 SE REALIZA VISITA DE CAMPO ENCONTRADO QUE COMERCIO NO EXISTE EN DIRECCIÓN INDICADA EN RUTA, SE INTENTA CONTACTAR A LA LÍNEA TELEFÓNICA 3123456788 NO HAY RESPUESTA. POR LO ANTERIOR SE INFORMA A SUPERVISOR QUIEN AUTORIZA CIERRE DE VISITA"/>
    <s v="VISITA_TÉCNICA"/>
    <n v="0"/>
    <s v="TIPO I"/>
    <s v="TERRESTRE"/>
    <s v="LOZADA ROJAS CHRISTIAN ANDRES"/>
    <n v="1"/>
    <n v="44559.563999999998"/>
    <n v="44559.563999999998"/>
  </r>
  <r>
    <s v="CUCUTA"/>
    <x v="4"/>
    <x v="4"/>
    <n v="54001"/>
    <s v="LC-CS-25-000191"/>
    <n v="73339"/>
    <s v="ORDEN DE CAMBIO"/>
    <s v="NORTE DE SANTANDER"/>
    <s v="CUCUTA"/>
    <s v="BARRIO AEROPUERTO CUCUTA 15"/>
    <s v="REDEBAN"/>
    <s v="FO-25-1442461"/>
    <d v="2025-08-28T16:50:00"/>
    <d v="2025-08-30T16:48:00"/>
    <m/>
    <s v="CIERRE"/>
    <s v="CIERRE"/>
    <s v="CB UNO A UNO"/>
    <s v="CB UNO A UNO"/>
    <s v="ILOCALIZADO"/>
    <s v="CB CERRADO - DESOCUPADO"/>
    <s v="29/08/2025 SE INTENTA COMUNICACIÓN A LOS NÚMEROS 3142975292 SUSPENDIDO-3183262137 SUENA PERO NO HAY CONTACTO. SE INTENTARÁ NUEVAMENTE | 29/08/2025 SE INTENTA COMUNICACIÓN AL NÚMERO 3183262137 SUENA PERO NO HAY CONTACTO. SE INTENTARÁ NUEVAMENTE | 29/08/2025 SE INTENTA COMUNICACIÓN AL NÚMERO 3183262137 SUENA PERO NO HAY CONTACTO | 30/08/2025 SE VISITA COMERCIO EN SITIO, NO SE ENCUENTRA CB, SE INTENTA COMUNICACION CON EL CLIENTE, TELEFONO FUERA DE SERVICIO, CB ILOCALIZABLE."/>
    <s v="VISITA_TÉCNICA"/>
    <n v="0"/>
    <s v="TIPO I"/>
    <s v="TERRESTRE"/>
    <s v="NARANJO AFANADOR RUBEN JESUS"/>
    <n v="1"/>
    <n v="44559.563999999998"/>
    <n v="44559.563999999998"/>
  </r>
  <r>
    <m/>
    <x v="6"/>
    <x v="7"/>
    <m/>
    <m/>
    <m/>
    <m/>
    <m/>
    <m/>
    <m/>
    <m/>
    <m/>
    <m/>
    <m/>
    <m/>
    <m/>
    <m/>
    <m/>
    <m/>
    <m/>
    <m/>
    <m/>
    <m/>
    <m/>
    <m/>
    <m/>
    <m/>
    <m/>
    <m/>
    <n v="11052804.335999992"/>
  </r>
  <r>
    <m/>
    <x v="6"/>
    <x v="7"/>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98F422-378D-4B3A-9EF3-E354DDA3582B}" name="TablaDinámica1" cacheId="930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 firstHeaderRow="0" firstDataRow="1" firstDataCol="2"/>
  <pivotFields count="30">
    <pivotField compact="0" outline="0" showAll="0"/>
    <pivotField axis="axisRow" compact="0" outline="0" showAll="0" defaultSubtotal="0">
      <items count="8">
        <item x="1"/>
        <item x="5"/>
        <item x="0"/>
        <item x="2"/>
        <item x="4"/>
        <item x="3"/>
        <item h="1" x="6"/>
        <item h="1" m="1" x="7"/>
      </items>
    </pivotField>
    <pivotField axis="axisRow" compact="0" outline="0" showAll="0">
      <items count="9">
        <item x="5"/>
        <item x="6"/>
        <item x="1"/>
        <item x="3"/>
        <item x="0"/>
        <item x="2"/>
        <item x="4"/>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29" showDataAs="percentOfTotal" baseField="0" baseItem="0" numFmtId="10"/>
    <dataField name="Suma de VALOR TOTAL2" fld="29" baseField="0" baseItem="0" numFmtId="168"/>
  </dataFields>
  <formats count="3">
    <format dxfId="1">
      <pivotArea outline="0"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 dxfId="3">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abSelected="1" workbookViewId="0">
      <selection activeCell="G16" sqref="G16"/>
    </sheetView>
  </sheetViews>
  <sheetFormatPr defaultColWidth="11.42578125" defaultRowHeight="14.45"/>
  <cols>
    <col min="1" max="1" width="31" customWidth="1"/>
    <col min="4" max="4" width="13.7109375" bestFit="1" customWidth="1"/>
    <col min="5" max="5" width="4" customWidth="1"/>
    <col min="6" max="6" width="21.5703125" customWidth="1"/>
    <col min="7" max="7" width="30" customWidth="1"/>
    <col min="9" max="9" width="16.42578125" bestFit="1" customWidth="1"/>
    <col min="15" max="15" width="20.140625" customWidth="1"/>
  </cols>
  <sheetData>
    <row r="1" spans="1:10">
      <c r="A1" s="85" t="s">
        <v>0</v>
      </c>
      <c r="B1" s="85"/>
      <c r="C1" s="85"/>
      <c r="D1" s="85"/>
      <c r="F1" s="78" t="s">
        <v>1</v>
      </c>
      <c r="G1" s="79"/>
      <c r="H1" s="79"/>
      <c r="I1" s="79"/>
      <c r="J1" s="80"/>
    </row>
    <row r="2" spans="1:10">
      <c r="A2" s="85" t="s">
        <v>2</v>
      </c>
      <c r="B2" s="85"/>
      <c r="C2" s="85"/>
      <c r="D2" s="85"/>
      <c r="F2" s="81" t="str">
        <f>A3</f>
        <v>AGOSTO 2025</v>
      </c>
      <c r="G2" s="82"/>
      <c r="H2" s="82"/>
      <c r="I2" s="82"/>
      <c r="J2" s="83"/>
    </row>
    <row r="3" spans="1:10">
      <c r="A3" s="86" t="s">
        <v>3</v>
      </c>
      <c r="B3" s="86"/>
      <c r="C3" s="86"/>
      <c r="D3" s="86"/>
      <c r="F3" s="13"/>
      <c r="G3" s="13"/>
      <c r="H3" s="13"/>
      <c r="I3" s="14"/>
      <c r="J3" s="14"/>
    </row>
    <row r="4" spans="1:10">
      <c r="A4" s="9"/>
      <c r="B4" s="92"/>
      <c r="C4" s="93"/>
      <c r="D4" s="9"/>
      <c r="F4" s="24" t="s">
        <v>4</v>
      </c>
      <c r="G4" s="19" t="s">
        <v>5</v>
      </c>
      <c r="H4" s="19" t="s">
        <v>6</v>
      </c>
      <c r="I4" s="19" t="s">
        <v>7</v>
      </c>
      <c r="J4" s="20" t="s">
        <v>6</v>
      </c>
    </row>
    <row r="5" spans="1:10">
      <c r="A5" s="18" t="s">
        <v>4</v>
      </c>
      <c r="B5" s="88" t="s">
        <v>8</v>
      </c>
      <c r="C5" s="90"/>
      <c r="D5" s="18" t="s">
        <v>6</v>
      </c>
      <c r="F5" s="49" t="s">
        <v>9</v>
      </c>
      <c r="G5" s="49" t="s">
        <v>10</v>
      </c>
      <c r="H5" s="15">
        <v>300000</v>
      </c>
      <c r="I5" s="16">
        <f>H5*0.12</f>
        <v>36000</v>
      </c>
      <c r="J5" s="16">
        <f>H5+I5</f>
        <v>336000</v>
      </c>
    </row>
    <row r="6" spans="1:10">
      <c r="A6" s="58" t="str">
        <f>CONCATENATE("CIERRES NO EXITOSOS ",A3)</f>
        <v>CIERRES NO EXITOSOS AGOSTO 2025</v>
      </c>
      <c r="B6" s="94">
        <f>COUNTA(CIERRES!A:A)-1</f>
        <v>105</v>
      </c>
      <c r="C6" s="95"/>
      <c r="D6" s="59">
        <f>CIERRES!AD107</f>
        <v>11052804.335999992</v>
      </c>
      <c r="F6" s="53"/>
      <c r="G6" s="53"/>
      <c r="H6" s="54"/>
      <c r="I6" s="55">
        <f>H6*0.12</f>
        <v>0</v>
      </c>
      <c r="J6" s="55">
        <f>H6+I6</f>
        <v>0</v>
      </c>
    </row>
    <row r="7" spans="1:10">
      <c r="A7" s="10" t="s">
        <v>11</v>
      </c>
      <c r="B7" s="84">
        <v>1</v>
      </c>
      <c r="C7" s="84"/>
      <c r="D7" s="11">
        <f>J10</f>
        <v>336000</v>
      </c>
      <c r="F7" s="23"/>
      <c r="G7" s="23"/>
      <c r="H7" s="50"/>
      <c r="I7" s="51">
        <f>H7*0.12</f>
        <v>0</v>
      </c>
      <c r="J7" s="51">
        <f>H7+I7</f>
        <v>0</v>
      </c>
    </row>
    <row r="8" spans="1:10">
      <c r="A8" s="91" t="s">
        <v>12</v>
      </c>
      <c r="B8" s="91"/>
      <c r="C8" s="91"/>
      <c r="D8" s="46">
        <f>SUM(D6:D7)</f>
        <v>11388804.335999992</v>
      </c>
      <c r="F8" s="23"/>
      <c r="G8" s="52"/>
      <c r="H8" s="50"/>
      <c r="I8" s="51"/>
      <c r="J8" s="51"/>
    </row>
    <row r="9" spans="1:10">
      <c r="A9" s="87" t="s">
        <v>13</v>
      </c>
      <c r="B9" s="87"/>
      <c r="C9" s="87"/>
      <c r="D9" s="12">
        <f>D8*0.19</f>
        <v>2163872.8238399983</v>
      </c>
      <c r="F9" s="23"/>
      <c r="G9" s="52"/>
      <c r="H9" s="50"/>
      <c r="I9" s="51"/>
      <c r="J9" s="51"/>
    </row>
    <row r="10" spans="1:10">
      <c r="A10" s="88" t="s">
        <v>6</v>
      </c>
      <c r="B10" s="89"/>
      <c r="C10" s="90"/>
      <c r="D10" s="21">
        <f>SUM(D8:D9)</f>
        <v>13552677.15983999</v>
      </c>
      <c r="F10" s="25" t="s">
        <v>6</v>
      </c>
      <c r="G10" s="56"/>
      <c r="H10" s="57">
        <f>SUM(H5:H7)</f>
        <v>300000</v>
      </c>
      <c r="I10" s="57">
        <f>SUM(I5:I7)</f>
        <v>36000</v>
      </c>
      <c r="J10" s="57">
        <f>SUM(J5:J7)</f>
        <v>336000</v>
      </c>
    </row>
  </sheetData>
  <mergeCells count="12">
    <mergeCell ref="A9:C9"/>
    <mergeCell ref="A10:C10"/>
    <mergeCell ref="A8:C8"/>
    <mergeCell ref="B4:C4"/>
    <mergeCell ref="B5:C5"/>
    <mergeCell ref="B6:C6"/>
    <mergeCell ref="F1:J1"/>
    <mergeCell ref="F2:J2"/>
    <mergeCell ref="B7:C7"/>
    <mergeCell ref="A1:D1"/>
    <mergeCell ref="A2:D2"/>
    <mergeCell ref="A3:D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election activeCell="C22" sqref="C22"/>
    </sheetView>
  </sheetViews>
  <sheetFormatPr defaultColWidth="11.42578125" defaultRowHeight="14.45"/>
  <cols>
    <col min="1" max="1" width="15" bestFit="1" customWidth="1"/>
    <col min="2" max="2" width="22.7109375" bestFit="1" customWidth="1"/>
    <col min="3" max="3" width="42" customWidth="1"/>
    <col min="4" max="4" width="14.42578125" customWidth="1"/>
  </cols>
  <sheetData>
    <row r="1" spans="1:4">
      <c r="A1" s="96" t="s">
        <v>14</v>
      </c>
      <c r="B1" s="96"/>
      <c r="C1" s="96"/>
      <c r="D1" s="45" t="s">
        <v>15</v>
      </c>
    </row>
    <row r="2" spans="1:4">
      <c r="A2" s="1" t="s">
        <v>16</v>
      </c>
      <c r="B2" s="1" t="s">
        <v>17</v>
      </c>
      <c r="C2" s="44" t="s">
        <v>18</v>
      </c>
      <c r="D2" s="43">
        <v>5.1999999999999998E-2</v>
      </c>
    </row>
    <row r="3" spans="1:4">
      <c r="A3" s="2" t="s">
        <v>19</v>
      </c>
      <c r="B3" s="2" t="s">
        <v>20</v>
      </c>
      <c r="C3" s="47">
        <f>42357*(1+$D$2)</f>
        <v>44559.563999999998</v>
      </c>
      <c r="D3" s="42"/>
    </row>
    <row r="4" spans="1:4">
      <c r="A4" s="2" t="s">
        <v>21</v>
      </c>
      <c r="B4" s="2" t="s">
        <v>22</v>
      </c>
      <c r="C4" s="47">
        <f>127767*(1+$D$2)</f>
        <v>134410.88400000002</v>
      </c>
      <c r="D4" s="42"/>
    </row>
    <row r="5" spans="1:4">
      <c r="A5" s="2" t="s">
        <v>23</v>
      </c>
      <c r="B5" s="2" t="s">
        <v>24</v>
      </c>
      <c r="C5" s="47">
        <f>211886*(1+$D$2)</f>
        <v>222904.07200000001</v>
      </c>
      <c r="D5" s="42"/>
    </row>
    <row r="6" spans="1:4">
      <c r="A6" s="2" t="s">
        <v>25</v>
      </c>
      <c r="B6" s="2" t="s">
        <v>26</v>
      </c>
      <c r="C6" s="47">
        <f>441834*(1+$D$2)</f>
        <v>464809.36800000002</v>
      </c>
      <c r="D6" s="42"/>
    </row>
    <row r="7" spans="1:4" ht="24.75" customHeight="1">
      <c r="A7" s="2" t="s">
        <v>27</v>
      </c>
      <c r="B7" s="2" t="s">
        <v>28</v>
      </c>
      <c r="C7" s="3" t="s">
        <v>29</v>
      </c>
      <c r="D7" s="42"/>
    </row>
    <row r="8" spans="1:4">
      <c r="A8" s="4"/>
      <c r="B8" s="5"/>
      <c r="C8" s="6"/>
    </row>
    <row r="9" spans="1:4">
      <c r="A9" s="7" t="s">
        <v>30</v>
      </c>
      <c r="B9" s="48">
        <f>36031*(1+$D$2)</f>
        <v>37904.612000000001</v>
      </c>
      <c r="C9" s="8"/>
    </row>
  </sheetData>
  <mergeCells count="1">
    <mergeCell ref="A1:C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D87C1-98F8-4E35-87EF-7DADBAA268DD}">
  <dimension ref="A3:E11"/>
  <sheetViews>
    <sheetView workbookViewId="0">
      <selection activeCell="D16" sqref="D16"/>
    </sheetView>
  </sheetViews>
  <sheetFormatPr defaultColWidth="8.85546875" defaultRowHeight="14.45"/>
  <cols>
    <col min="1" max="1" width="32.85546875" bestFit="1" customWidth="1"/>
    <col min="2" max="2" width="32.5703125" bestFit="1" customWidth="1"/>
    <col min="3" max="3" width="8.7109375" style="39" bestFit="1" customWidth="1"/>
    <col min="4" max="4" width="23.140625" bestFit="1" customWidth="1"/>
  </cols>
  <sheetData>
    <row r="3" spans="1:5">
      <c r="A3" s="38" t="s">
        <v>31</v>
      </c>
      <c r="B3" s="38" t="s">
        <v>32</v>
      </c>
      <c r="C3" s="39" t="s">
        <v>33</v>
      </c>
      <c r="D3" t="s">
        <v>34</v>
      </c>
      <c r="E3" t="s">
        <v>35</v>
      </c>
    </row>
    <row r="4" spans="1:5">
      <c r="A4" t="s">
        <v>36</v>
      </c>
      <c r="B4" t="s">
        <v>37</v>
      </c>
      <c r="C4" s="40">
        <v>2.4321589329544428E-2</v>
      </c>
      <c r="D4" s="41">
        <v>268821.76800000004</v>
      </c>
      <c r="E4" t="str">
        <f>VLOOKUP(B4,'CENTRO DE COSTOS'!B:C,2,0)</f>
        <v>Redeban Eje Cafetero (Pereira)</v>
      </c>
    </row>
    <row r="5" spans="1:5">
      <c r="B5" t="s">
        <v>38</v>
      </c>
      <c r="C5" s="40">
        <v>0.26918056572389498</v>
      </c>
      <c r="D5" s="41">
        <v>2975200.1240000003</v>
      </c>
      <c r="E5" t="str">
        <f>VLOOKUP(B5,'CENTRO DE COSTOS'!B:C,2,0)</f>
        <v>Redeban Suroccidente (Cali)</v>
      </c>
    </row>
    <row r="6" spans="1:5">
      <c r="A6" t="s">
        <v>39</v>
      </c>
      <c r="B6" t="s">
        <v>40</v>
      </c>
      <c r="C6" s="40">
        <v>0.11350208271704629</v>
      </c>
      <c r="D6" s="41">
        <v>1254516.3120000002</v>
      </c>
      <c r="E6" t="str">
        <f>VLOOKUP(B6,'CENTRO DE COSTOS'!B:C,2,0)</f>
        <v>Redeban Costa (Barranqullla)</v>
      </c>
    </row>
    <row r="7" spans="1:5">
      <c r="A7" t="s">
        <v>41</v>
      </c>
      <c r="B7" t="s">
        <v>42</v>
      </c>
      <c r="C7" s="40">
        <v>0.20171450576920805</v>
      </c>
      <c r="D7" s="41">
        <v>2229510.9640000002</v>
      </c>
      <c r="E7" t="str">
        <f>VLOOKUP(B7,'CENTRO DE COSTOS'!B:C,2,0)</f>
        <v>Redeban Noroccidente (Medellín)</v>
      </c>
    </row>
    <row r="8" spans="1:5">
      <c r="A8" t="s">
        <v>43</v>
      </c>
      <c r="B8" t="s">
        <v>44</v>
      </c>
      <c r="C8" s="40">
        <v>0.14918362669547935</v>
      </c>
      <c r="D8" s="41">
        <v>1648897.436</v>
      </c>
      <c r="E8" t="str">
        <f>VLOOKUP(B8,'CENTRO DE COSTOS'!B:C,2,0)</f>
        <v>Redeban Oriente (Otros)</v>
      </c>
    </row>
    <row r="9" spans="1:5">
      <c r="A9" t="s">
        <v>45</v>
      </c>
      <c r="B9" t="s">
        <v>46</v>
      </c>
      <c r="C9" s="40">
        <v>0.1048177179999977</v>
      </c>
      <c r="D9" s="41">
        <v>1158529.7280000001</v>
      </c>
      <c r="E9" t="str">
        <f>VLOOKUP(B9,'CENTRO DE COSTOS'!B:C,2,0)</f>
        <v>Redeban Santander</v>
      </c>
    </row>
    <row r="10" spans="1:5">
      <c r="A10" t="s">
        <v>47</v>
      </c>
      <c r="B10" t="s">
        <v>48</v>
      </c>
      <c r="C10" s="40">
        <v>0.13727991176482904</v>
      </c>
      <c r="D10" s="41">
        <v>1517328.0040000002</v>
      </c>
      <c r="E10" t="str">
        <f>VLOOKUP(B10,'CENTRO DE COSTOS'!B:C,2,0)</f>
        <v>Redeban Centro ( Bogotá)</v>
      </c>
    </row>
    <row r="11" spans="1:5">
      <c r="A11" t="s">
        <v>49</v>
      </c>
      <c r="C11" s="40">
        <v>1</v>
      </c>
      <c r="D11" s="41">
        <v>11052804.336000003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AD107"/>
  <sheetViews>
    <sheetView topLeftCell="M1" zoomScaleNormal="100" workbookViewId="0">
      <pane ySplit="1" topLeftCell="A2" activePane="bottomLeft" state="frozen"/>
      <selection pane="bottomLeft" activeCell="AD2" sqref="AD2"/>
    </sheetView>
  </sheetViews>
  <sheetFormatPr defaultColWidth="11.42578125" defaultRowHeight="14.45"/>
  <cols>
    <col min="1" max="1" width="15.42578125" style="61" bestFit="1" customWidth="1"/>
    <col min="2" max="3" width="13.140625" style="61" customWidth="1"/>
    <col min="4" max="4" width="11.85546875" style="61" customWidth="1"/>
    <col min="5" max="5" width="11.42578125" style="61" customWidth="1"/>
    <col min="6" max="6" width="11.7109375" style="61" bestFit="1" customWidth="1"/>
    <col min="7" max="7" width="11.42578125" style="61" customWidth="1"/>
    <col min="8" max="8" width="17.42578125" style="61" bestFit="1" customWidth="1"/>
    <col min="9" max="9" width="12.42578125" style="61" bestFit="1" customWidth="1"/>
    <col min="10" max="10" width="32" style="61" bestFit="1" customWidth="1"/>
    <col min="11" max="11" width="11.42578125" style="61"/>
    <col min="12" max="12" width="11.42578125" style="61" customWidth="1"/>
    <col min="13" max="14" width="17.28515625" style="61" customWidth="1"/>
    <col min="15" max="19" width="11.42578125" style="61"/>
    <col min="20" max="21" width="16.28515625" style="61" customWidth="1"/>
    <col min="22" max="22" width="11.5703125" style="61" bestFit="1" customWidth="1"/>
    <col min="23" max="23" width="12" style="61" bestFit="1" customWidth="1"/>
    <col min="24" max="24" width="11.7109375" style="61" bestFit="1" customWidth="1"/>
    <col min="25" max="25" width="12.85546875" style="61" bestFit="1" customWidth="1"/>
    <col min="26" max="26" width="18.7109375" style="61" customWidth="1"/>
    <col min="27" max="27" width="28.28515625" style="61" bestFit="1" customWidth="1"/>
    <col min="28" max="28" width="11.7109375" style="65" bestFit="1" customWidth="1"/>
    <col min="29" max="30" width="12.7109375" style="61" bestFit="1" customWidth="1"/>
    <col min="31" max="16384" width="11.42578125" style="61"/>
  </cols>
  <sheetData>
    <row r="1" spans="1:30" s="66" customFormat="1" ht="30.75" customHeight="1">
      <c r="A1" s="67" t="s">
        <v>50</v>
      </c>
      <c r="B1" s="67" t="s">
        <v>31</v>
      </c>
      <c r="C1" s="67" t="s">
        <v>32</v>
      </c>
      <c r="D1" s="67" t="s">
        <v>51</v>
      </c>
      <c r="E1" s="67" t="s">
        <v>52</v>
      </c>
      <c r="F1" s="67" t="s">
        <v>53</v>
      </c>
      <c r="G1" s="68" t="s">
        <v>54</v>
      </c>
      <c r="H1" s="67" t="s">
        <v>55</v>
      </c>
      <c r="I1" s="67" t="s">
        <v>56</v>
      </c>
      <c r="J1" s="67" t="s">
        <v>57</v>
      </c>
      <c r="K1" s="67" t="s">
        <v>58</v>
      </c>
      <c r="L1" s="67" t="s">
        <v>59</v>
      </c>
      <c r="M1" s="67" t="s">
        <v>60</v>
      </c>
      <c r="N1" s="67" t="s">
        <v>61</v>
      </c>
      <c r="O1" s="69" t="s">
        <v>62</v>
      </c>
      <c r="P1" s="67" t="s">
        <v>63</v>
      </c>
      <c r="Q1" s="67" t="s">
        <v>64</v>
      </c>
      <c r="R1" s="70" t="s">
        <v>65</v>
      </c>
      <c r="S1" s="70" t="s">
        <v>66</v>
      </c>
      <c r="T1" s="71" t="s">
        <v>67</v>
      </c>
      <c r="U1" s="67" t="s">
        <v>68</v>
      </c>
      <c r="V1" s="67" t="s">
        <v>69</v>
      </c>
      <c r="W1" s="67" t="s">
        <v>70</v>
      </c>
      <c r="X1" s="67" t="s">
        <v>71</v>
      </c>
      <c r="Y1" s="67" t="s">
        <v>72</v>
      </c>
      <c r="Z1" s="67" t="s">
        <v>73</v>
      </c>
      <c r="AA1" s="71" t="s">
        <v>74</v>
      </c>
      <c r="AB1" s="67" t="s">
        <v>75</v>
      </c>
      <c r="AC1" s="62" t="s">
        <v>76</v>
      </c>
      <c r="AD1" s="62" t="s">
        <v>77</v>
      </c>
    </row>
    <row r="2" spans="1:30" s="64" customFormat="1" ht="13.15">
      <c r="A2" s="72" t="s">
        <v>78</v>
      </c>
      <c r="B2" s="72" t="str">
        <f>VLOOKUP(A2,'CENTRO DE COSTOS'!A:D,4,FALSE)</f>
        <v>JUAN SEBASTIÁN RÍOS CASTRILLÓN</v>
      </c>
      <c r="C2" s="72" t="str">
        <f>VLOOKUP(A2,'CENTRO DE COSTOS'!A:C,2,FALSE)</f>
        <v>0004-0005</v>
      </c>
      <c r="D2" s="72">
        <v>27615</v>
      </c>
      <c r="E2" s="72" t="s">
        <v>79</v>
      </c>
      <c r="F2" s="72">
        <v>58825</v>
      </c>
      <c r="G2" s="72" t="s">
        <v>80</v>
      </c>
      <c r="H2" s="72" t="s">
        <v>81</v>
      </c>
      <c r="I2" s="72" t="s">
        <v>82</v>
      </c>
      <c r="J2" s="72" t="s">
        <v>83</v>
      </c>
      <c r="K2" s="72" t="s">
        <v>84</v>
      </c>
      <c r="L2" s="72" t="s">
        <v>85</v>
      </c>
      <c r="M2" s="73">
        <v>45867.333333333336</v>
      </c>
      <c r="N2" s="73">
        <v>45870.397916666669</v>
      </c>
      <c r="O2" s="63"/>
      <c r="P2" s="74" t="s">
        <v>86</v>
      </c>
      <c r="Q2" s="72" t="s">
        <v>86</v>
      </c>
      <c r="R2" s="75" t="s">
        <v>87</v>
      </c>
      <c r="S2" s="75" t="s">
        <v>88</v>
      </c>
      <c r="T2" s="72" t="s">
        <v>89</v>
      </c>
      <c r="U2" s="72" t="s">
        <v>90</v>
      </c>
      <c r="V2" s="74" t="s">
        <v>91</v>
      </c>
      <c r="W2" s="72" t="s">
        <v>92</v>
      </c>
      <c r="X2" s="72">
        <v>0</v>
      </c>
      <c r="Y2" s="72" t="s">
        <v>93</v>
      </c>
      <c r="Z2" s="72" t="str">
        <f>VLOOKUP(D2,TIPOLOGIAS!A:F,5,0)</f>
        <v>TERRESTRE/FLUVIAL</v>
      </c>
      <c r="AA2" s="72" t="s">
        <v>94</v>
      </c>
      <c r="AB2" s="76">
        <v>0</v>
      </c>
      <c r="AC2" s="77">
        <f>IF(AND(W2="SOPORTE_TELEFÓNICO",OR(U2="SIN CONTACTO CON EL CB",U2="NÚMEROS DE CONTACTO ERRADOS")),0,IF(W2="SOPORTE_TELEFÓNICO",'BASE DE LIQUIDACION 2025'!$B$9,IF(Y2="TIPO I",'BASE DE LIQUIDACION 2025'!$C$3,IF(Y2="TIPO II",'BASE DE LIQUIDACION 2025'!$C$4,IF(Y2="TIPO III",'BASE DE LIQUIDACION 2025'!$C$5,'BASE DE LIQUIDACION 2025'!$C$6)))))</f>
        <v>37904.612000000001</v>
      </c>
      <c r="AD2" s="77">
        <f>IF(W2="SOPORTE_TELEFÓNICO",AC2,CIERRES!AB2*CIERRES!AC2)</f>
        <v>37904.612000000001</v>
      </c>
    </row>
    <row r="3" spans="1:30" s="64" customFormat="1" ht="13.15">
      <c r="A3" s="72" t="s">
        <v>95</v>
      </c>
      <c r="B3" s="72" t="str">
        <f>VLOOKUP(A3,'CENTRO DE COSTOS'!A:D,4,FALSE)</f>
        <v>DIEGO FERNANDO HENAO CARDONA</v>
      </c>
      <c r="C3" s="72" t="str">
        <f>VLOOKUP(A3,'CENTRO DE COSTOS'!A:C,2,FALSE)</f>
        <v>0004-0003</v>
      </c>
      <c r="D3" s="72">
        <v>76001</v>
      </c>
      <c r="E3" s="72" t="s">
        <v>96</v>
      </c>
      <c r="F3" s="72">
        <v>69764</v>
      </c>
      <c r="G3" s="72" t="s">
        <v>80</v>
      </c>
      <c r="H3" s="72" t="s">
        <v>97</v>
      </c>
      <c r="I3" s="72" t="s">
        <v>95</v>
      </c>
      <c r="J3" s="72" t="s">
        <v>98</v>
      </c>
      <c r="K3" s="72" t="s">
        <v>84</v>
      </c>
      <c r="L3" s="72" t="s">
        <v>99</v>
      </c>
      <c r="M3" s="73">
        <v>45868.665972222225</v>
      </c>
      <c r="N3" s="73">
        <v>45870.414583333331</v>
      </c>
      <c r="O3" s="63"/>
      <c r="P3" s="74" t="s">
        <v>86</v>
      </c>
      <c r="Q3" s="72" t="s">
        <v>86</v>
      </c>
      <c r="R3" s="75" t="s">
        <v>100</v>
      </c>
      <c r="S3" s="75" t="s">
        <v>100</v>
      </c>
      <c r="T3" s="72" t="s">
        <v>89</v>
      </c>
      <c r="U3" s="72" t="s">
        <v>90</v>
      </c>
      <c r="V3" s="74" t="s">
        <v>101</v>
      </c>
      <c r="W3" s="72" t="s">
        <v>102</v>
      </c>
      <c r="X3" s="72" t="s">
        <v>103</v>
      </c>
      <c r="Y3" s="72" t="s">
        <v>104</v>
      </c>
      <c r="Z3" s="72" t="str">
        <f>VLOOKUP(D3,TIPOLOGIAS!A:F,5,0)</f>
        <v>TERRESTRE</v>
      </c>
      <c r="AA3" s="72" t="s">
        <v>105</v>
      </c>
      <c r="AB3" s="76">
        <v>1</v>
      </c>
      <c r="AC3" s="77">
        <f>IF(AND(W3="SOPORTE_TELEFÓNICO",OR(U3="SIN CONTACTO CON EL CB",U3="NÚMEROS DE CONTACTO ERRADOS")),0,IF(W3="SOPORTE_TELEFÓNICO",'BASE DE LIQUIDACION 2025'!$B$9,IF(Y3="TIPO I",'BASE DE LIQUIDACION 2025'!$C$3,IF(Y3="TIPO II",'BASE DE LIQUIDACION 2025'!$C$4,IF(Y3="TIPO III",'BASE DE LIQUIDACION 2025'!$C$5,'BASE DE LIQUIDACION 2025'!$C$6)))))</f>
        <v>44559.563999999998</v>
      </c>
      <c r="AD3" s="77">
        <f>IF(W3="SOPORTE_TELEFÓNICO",AC3,CIERRES!AB3*CIERRES!AC3)</f>
        <v>44559.563999999998</v>
      </c>
    </row>
    <row r="4" spans="1:30" s="64" customFormat="1" ht="13.15">
      <c r="A4" s="72" t="s">
        <v>106</v>
      </c>
      <c r="B4" s="72" t="str">
        <f>VLOOKUP(A4,'CENTRO DE COSTOS'!A:D,4,FALSE)</f>
        <v>KEVIN ALEXIS CORZO BUSTOS</v>
      </c>
      <c r="C4" s="72" t="str">
        <f>VLOOKUP(A4,'CENTRO DE COSTOS'!A:C,2,FALSE)</f>
        <v>0004-0007</v>
      </c>
      <c r="D4" s="72">
        <v>50568</v>
      </c>
      <c r="E4" s="72" t="s">
        <v>107</v>
      </c>
      <c r="F4" s="72">
        <v>72483</v>
      </c>
      <c r="G4" s="72" t="s">
        <v>80</v>
      </c>
      <c r="H4" s="72" t="s">
        <v>108</v>
      </c>
      <c r="I4" s="72" t="s">
        <v>109</v>
      </c>
      <c r="J4" s="72" t="s">
        <v>110</v>
      </c>
      <c r="K4" s="72" t="s">
        <v>84</v>
      </c>
      <c r="L4" s="72" t="s">
        <v>111</v>
      </c>
      <c r="M4" s="73">
        <v>45868.333333333336</v>
      </c>
      <c r="N4" s="73">
        <v>45870.417361111111</v>
      </c>
      <c r="O4" s="63"/>
      <c r="P4" s="74" t="s">
        <v>86</v>
      </c>
      <c r="Q4" s="72" t="s">
        <v>112</v>
      </c>
      <c r="R4" s="75" t="s">
        <v>100</v>
      </c>
      <c r="S4" s="75" t="s">
        <v>100</v>
      </c>
      <c r="T4" s="72" t="s">
        <v>113</v>
      </c>
      <c r="U4" s="72" t="s">
        <v>114</v>
      </c>
      <c r="V4" s="74" t="s">
        <v>115</v>
      </c>
      <c r="W4" s="72" t="s">
        <v>102</v>
      </c>
      <c r="X4" s="72">
        <v>0</v>
      </c>
      <c r="Y4" s="72" t="s">
        <v>116</v>
      </c>
      <c r="Z4" s="72" t="str">
        <f>VLOOKUP(D4,TIPOLOGIAS!A:F,5,0)</f>
        <v>TERRESTRE</v>
      </c>
      <c r="AA4" s="72" t="s">
        <v>117</v>
      </c>
      <c r="AB4" s="76">
        <v>1</v>
      </c>
      <c r="AC4" s="77">
        <f>IF(AND(W4="SOPORTE_TELEFÓNICO",OR(U4="SIN CONTACTO CON EL CB",U4="NÚMEROS DE CONTACTO ERRADOS")),0,IF(W4="SOPORTE_TELEFÓNICO",'BASE DE LIQUIDACION 2025'!$B$9,IF(Y4="TIPO I",'BASE DE LIQUIDACION 2025'!$C$3,IF(Y4="TIPO II",'BASE DE LIQUIDACION 2025'!$C$4,IF(Y4="TIPO III",'BASE DE LIQUIDACION 2025'!$C$5,'BASE DE LIQUIDACION 2025'!$C$6)))))</f>
        <v>222904.07200000001</v>
      </c>
      <c r="AD4" s="77">
        <f>IF(W4="SOPORTE_TELEFÓNICO",AC4,CIERRES!AB4*CIERRES!AC4)</f>
        <v>222904.07200000001</v>
      </c>
    </row>
    <row r="5" spans="1:30" s="64" customFormat="1" ht="13.15">
      <c r="A5" s="72" t="s">
        <v>118</v>
      </c>
      <c r="B5" s="72" t="str">
        <f>VLOOKUP(A5,'CENTRO DE COSTOS'!A:D,4,FALSE)</f>
        <v>KEVIN ALEXIS CORZO BUSTOS</v>
      </c>
      <c r="C5" s="72" t="str">
        <f>VLOOKUP(A5,'CENTRO DE COSTOS'!A:C,2,FALSE)</f>
        <v>0004-0007</v>
      </c>
      <c r="D5" s="72">
        <v>73671</v>
      </c>
      <c r="E5" s="72" t="s">
        <v>119</v>
      </c>
      <c r="F5" s="72">
        <v>62416</v>
      </c>
      <c r="G5" s="72" t="s">
        <v>80</v>
      </c>
      <c r="H5" s="72" t="s">
        <v>120</v>
      </c>
      <c r="I5" s="72" t="s">
        <v>121</v>
      </c>
      <c r="J5" s="72" t="s">
        <v>122</v>
      </c>
      <c r="K5" s="72" t="s">
        <v>84</v>
      </c>
      <c r="L5" s="72" t="s">
        <v>123</v>
      </c>
      <c r="M5" s="73">
        <v>45868.665972222225</v>
      </c>
      <c r="N5" s="73">
        <v>45870.463194444441</v>
      </c>
      <c r="O5" s="63"/>
      <c r="P5" s="74" t="s">
        <v>86</v>
      </c>
      <c r="Q5" s="72" t="s">
        <v>86</v>
      </c>
      <c r="R5" s="75" t="s">
        <v>100</v>
      </c>
      <c r="S5" s="75" t="s">
        <v>100</v>
      </c>
      <c r="T5" s="72" t="s">
        <v>89</v>
      </c>
      <c r="U5" s="72" t="s">
        <v>90</v>
      </c>
      <c r="V5" s="74" t="s">
        <v>124</v>
      </c>
      <c r="W5" s="72" t="s">
        <v>92</v>
      </c>
      <c r="X5" s="72">
        <v>0</v>
      </c>
      <c r="Y5" s="72" t="s">
        <v>125</v>
      </c>
      <c r="Z5" s="72" t="str">
        <f>VLOOKUP(D5,TIPOLOGIAS!A:F,5,0)</f>
        <v>TERRESTRE</v>
      </c>
      <c r="AA5" s="72" t="s">
        <v>126</v>
      </c>
      <c r="AB5" s="76">
        <v>0</v>
      </c>
      <c r="AC5" s="77">
        <f>IF(AND(W5="SOPORTE_TELEFÓNICO",OR(U5="SIN CONTACTO CON EL CB",U5="NÚMEROS DE CONTACTO ERRADOS")),0,IF(W5="SOPORTE_TELEFÓNICO",'BASE DE LIQUIDACION 2025'!$B$9,IF(Y5="TIPO I",'BASE DE LIQUIDACION 2025'!$C$3,IF(Y5="TIPO II",'BASE DE LIQUIDACION 2025'!$C$4,IF(Y5="TIPO III",'BASE DE LIQUIDACION 2025'!$C$5,'BASE DE LIQUIDACION 2025'!$C$6)))))</f>
        <v>37904.612000000001</v>
      </c>
      <c r="AD5" s="77">
        <f>IF(W5="SOPORTE_TELEFÓNICO",AC5,CIERRES!AB5*CIERRES!AC5)</f>
        <v>37904.612000000001</v>
      </c>
    </row>
    <row r="6" spans="1:30" s="64" customFormat="1" ht="13.15">
      <c r="A6" s="72" t="s">
        <v>127</v>
      </c>
      <c r="B6" s="72" t="str">
        <f>VLOOKUP(A6,'CENTRO DE COSTOS'!A:D,4,FALSE)</f>
        <v>JUAN SEBASTIÁN RÍOS CASTRILLÓN</v>
      </c>
      <c r="C6" s="72" t="str">
        <f>VLOOKUP(A6,'CENTRO DE COSTOS'!A:C,2,FALSE)</f>
        <v>0004-0005</v>
      </c>
      <c r="D6" s="72">
        <v>5059</v>
      </c>
      <c r="E6" s="72" t="s">
        <v>128</v>
      </c>
      <c r="F6" s="72">
        <v>16613</v>
      </c>
      <c r="G6" s="72" t="s">
        <v>80</v>
      </c>
      <c r="H6" s="72" t="s">
        <v>129</v>
      </c>
      <c r="I6" s="72" t="s">
        <v>130</v>
      </c>
      <c r="J6" s="72" t="s">
        <v>131</v>
      </c>
      <c r="K6" s="72" t="s">
        <v>84</v>
      </c>
      <c r="L6" s="72" t="s">
        <v>132</v>
      </c>
      <c r="M6" s="73">
        <v>45868.665972222225</v>
      </c>
      <c r="N6" s="73">
        <v>45870.496527777781</v>
      </c>
      <c r="O6" s="63"/>
      <c r="P6" s="74" t="s">
        <v>86</v>
      </c>
      <c r="Q6" s="72" t="s">
        <v>112</v>
      </c>
      <c r="R6" s="75" t="s">
        <v>133</v>
      </c>
      <c r="S6" s="75" t="s">
        <v>134</v>
      </c>
      <c r="T6" s="72" t="s">
        <v>135</v>
      </c>
      <c r="U6" s="72" t="s">
        <v>136</v>
      </c>
      <c r="V6" s="74" t="s">
        <v>137</v>
      </c>
      <c r="W6" s="72" t="s">
        <v>92</v>
      </c>
      <c r="X6" s="72">
        <v>0</v>
      </c>
      <c r="Y6" s="72" t="s">
        <v>125</v>
      </c>
      <c r="Z6" s="72" t="str">
        <f>VLOOKUP(D6,TIPOLOGIAS!A:F,5,0)</f>
        <v>TERRESTRE</v>
      </c>
      <c r="AA6" s="72">
        <v>0</v>
      </c>
      <c r="AB6" s="76">
        <v>0</v>
      </c>
      <c r="AC6" s="77">
        <f>IF(AND(W6="SOPORTE_TELEFÓNICO",OR(U6="SIN CONTACTO CON EL CB",U6="NÚMEROS DE CONTACTO ERRADOS")),0,IF(W6="SOPORTE_TELEFÓNICO",'BASE DE LIQUIDACION 2025'!$B$9,IF(Y6="TIPO I",'BASE DE LIQUIDACION 2025'!$C$3,IF(Y6="TIPO II",'BASE DE LIQUIDACION 2025'!$C$4,IF(Y6="TIPO III",'BASE DE LIQUIDACION 2025'!$C$5,'BASE DE LIQUIDACION 2025'!$C$6)))))</f>
        <v>37904.612000000001</v>
      </c>
      <c r="AD6" s="77">
        <f>IF(W6="SOPORTE_TELEFÓNICO",AC6,CIERRES!AB6*CIERRES!AC6)</f>
        <v>37904.612000000001</v>
      </c>
    </row>
    <row r="7" spans="1:30" s="64" customFormat="1" ht="13.15">
      <c r="A7" s="72" t="s">
        <v>138</v>
      </c>
      <c r="B7" s="72" t="str">
        <f>VLOOKUP(A7,'CENTRO DE COSTOS'!A:D,4,FALSE)</f>
        <v>WILLIAM ASDRUBAL ROZO ROZO</v>
      </c>
      <c r="C7" s="72" t="str">
        <f>VLOOKUP(A7,'CENTRO DE COSTOS'!A:C,2,FALSE)</f>
        <v>0004-0004</v>
      </c>
      <c r="D7" s="72">
        <v>11001</v>
      </c>
      <c r="E7" s="72" t="s">
        <v>139</v>
      </c>
      <c r="F7" s="72">
        <v>56731</v>
      </c>
      <c r="G7" s="72" t="s">
        <v>80</v>
      </c>
      <c r="H7" s="72" t="s">
        <v>140</v>
      </c>
      <c r="I7" s="72" t="s">
        <v>138</v>
      </c>
      <c r="J7" s="72" t="s">
        <v>141</v>
      </c>
      <c r="K7" s="72" t="s">
        <v>84</v>
      </c>
      <c r="L7" s="72" t="s">
        <v>142</v>
      </c>
      <c r="M7" s="73">
        <v>45868.665972222225</v>
      </c>
      <c r="N7" s="73">
        <v>45870.581944444442</v>
      </c>
      <c r="O7" s="63"/>
      <c r="P7" s="74" t="s">
        <v>86</v>
      </c>
      <c r="Q7" s="72" t="s">
        <v>86</v>
      </c>
      <c r="R7" s="75" t="s">
        <v>87</v>
      </c>
      <c r="S7" s="75" t="s">
        <v>88</v>
      </c>
      <c r="T7" s="72" t="s">
        <v>113</v>
      </c>
      <c r="U7" s="72" t="s">
        <v>114</v>
      </c>
      <c r="V7" s="74" t="s">
        <v>143</v>
      </c>
      <c r="W7" s="72" t="s">
        <v>102</v>
      </c>
      <c r="X7" s="72">
        <v>0</v>
      </c>
      <c r="Y7" s="72" t="s">
        <v>104</v>
      </c>
      <c r="Z7" s="72" t="str">
        <f>VLOOKUP(D7,TIPOLOGIAS!A:F,5,0)</f>
        <v>TERRESTRE</v>
      </c>
      <c r="AA7" s="72" t="s">
        <v>144</v>
      </c>
      <c r="AB7" s="76">
        <v>1</v>
      </c>
      <c r="AC7" s="77">
        <f>IF(AND(W7="SOPORTE_TELEFÓNICO",OR(U7="SIN CONTACTO CON EL CB",U7="NÚMEROS DE CONTACTO ERRADOS")),0,IF(W7="SOPORTE_TELEFÓNICO",'BASE DE LIQUIDACION 2025'!$B$9,IF(Y7="TIPO I",'BASE DE LIQUIDACION 2025'!$C$3,IF(Y7="TIPO II",'BASE DE LIQUIDACION 2025'!$C$4,IF(Y7="TIPO III",'BASE DE LIQUIDACION 2025'!$C$5,'BASE DE LIQUIDACION 2025'!$C$6)))))</f>
        <v>44559.563999999998</v>
      </c>
      <c r="AD7" s="77">
        <f>IF(W7="SOPORTE_TELEFÓNICO",AC7,CIERRES!AB7*CIERRES!AC7)</f>
        <v>44559.563999999998</v>
      </c>
    </row>
    <row r="8" spans="1:30" s="64" customFormat="1" ht="13.15">
      <c r="A8" s="72" t="s">
        <v>138</v>
      </c>
      <c r="B8" s="72" t="str">
        <f>VLOOKUP(A8,'CENTRO DE COSTOS'!A:D,4,FALSE)</f>
        <v>WILLIAM ASDRUBAL ROZO ROZO</v>
      </c>
      <c r="C8" s="72" t="str">
        <f>VLOOKUP(A8,'CENTRO DE COSTOS'!A:C,2,FALSE)</f>
        <v>0004-0004</v>
      </c>
      <c r="D8" s="72">
        <v>25817</v>
      </c>
      <c r="E8" s="72" t="s">
        <v>145</v>
      </c>
      <c r="F8" s="72">
        <v>15820</v>
      </c>
      <c r="G8" s="72" t="s">
        <v>80</v>
      </c>
      <c r="H8" s="72" t="s">
        <v>140</v>
      </c>
      <c r="I8" s="72" t="s">
        <v>146</v>
      </c>
      <c r="J8" s="72" t="s">
        <v>147</v>
      </c>
      <c r="K8" s="72" t="s">
        <v>84</v>
      </c>
      <c r="L8" s="72" t="s">
        <v>148</v>
      </c>
      <c r="M8" s="73">
        <v>45868.665972222225</v>
      </c>
      <c r="N8" s="73">
        <v>45870.606944444444</v>
      </c>
      <c r="O8" s="63"/>
      <c r="P8" s="74" t="s">
        <v>86</v>
      </c>
      <c r="Q8" s="72" t="s">
        <v>86</v>
      </c>
      <c r="R8" s="75" t="s">
        <v>100</v>
      </c>
      <c r="S8" s="75" t="s">
        <v>100</v>
      </c>
      <c r="T8" s="72" t="s">
        <v>89</v>
      </c>
      <c r="U8" s="72" t="s">
        <v>90</v>
      </c>
      <c r="V8" s="74" t="s">
        <v>149</v>
      </c>
      <c r="W8" s="72" t="s">
        <v>102</v>
      </c>
      <c r="X8" s="72" t="s">
        <v>150</v>
      </c>
      <c r="Y8" s="72" t="s">
        <v>125</v>
      </c>
      <c r="Z8" s="72" t="str">
        <f>VLOOKUP(D8,TIPOLOGIAS!A:F,5,0)</f>
        <v>TERRESTRE</v>
      </c>
      <c r="AA8" s="72" t="s">
        <v>151</v>
      </c>
      <c r="AB8" s="76">
        <v>1</v>
      </c>
      <c r="AC8" s="77">
        <f>IF(AND(W8="SOPORTE_TELEFÓNICO",OR(U8="SIN CONTACTO CON EL CB",U8="NÚMEROS DE CONTACTO ERRADOS")),0,IF(W8="SOPORTE_TELEFÓNICO",'BASE DE LIQUIDACION 2025'!$B$9,IF(Y8="TIPO I",'BASE DE LIQUIDACION 2025'!$C$3,IF(Y8="TIPO II",'BASE DE LIQUIDACION 2025'!$C$4,IF(Y8="TIPO III",'BASE DE LIQUIDACION 2025'!$C$5,'BASE DE LIQUIDACION 2025'!$C$6)))))</f>
        <v>134410.88400000002</v>
      </c>
      <c r="AD8" s="77">
        <f>IF(W8="SOPORTE_TELEFÓNICO",AC8,CIERRES!AB8*CIERRES!AC8)</f>
        <v>134410.88400000002</v>
      </c>
    </row>
    <row r="9" spans="1:30" s="64" customFormat="1" ht="13.15">
      <c r="A9" s="72" t="s">
        <v>152</v>
      </c>
      <c r="B9" s="72" t="str">
        <f>VLOOKUP(A9,'CENTRO DE COSTOS'!A:D,4,FALSE)</f>
        <v>MIGUEL JULIÁN HERNÁNDEZ GUARÍN</v>
      </c>
      <c r="C9" s="72" t="str">
        <f>VLOOKUP(A9,'CENTRO DE COSTOS'!A:C,2,FALSE)</f>
        <v>0004-0008</v>
      </c>
      <c r="D9" s="72">
        <v>15001</v>
      </c>
      <c r="E9" s="72" t="s">
        <v>153</v>
      </c>
      <c r="F9" s="72">
        <v>62298</v>
      </c>
      <c r="G9" s="72" t="s">
        <v>80</v>
      </c>
      <c r="H9" s="72" t="s">
        <v>154</v>
      </c>
      <c r="I9" s="72" t="s">
        <v>152</v>
      </c>
      <c r="J9" s="72" t="s">
        <v>155</v>
      </c>
      <c r="K9" s="72" t="s">
        <v>84</v>
      </c>
      <c r="L9" s="72" t="s">
        <v>156</v>
      </c>
      <c r="M9" s="73">
        <v>45868.665972222225</v>
      </c>
      <c r="N9" s="73">
        <v>45870.695138888892</v>
      </c>
      <c r="O9" s="63"/>
      <c r="P9" s="74" t="s">
        <v>86</v>
      </c>
      <c r="Q9" s="72" t="s">
        <v>86</v>
      </c>
      <c r="R9" s="75" t="s">
        <v>100</v>
      </c>
      <c r="S9" s="75" t="s">
        <v>100</v>
      </c>
      <c r="T9" s="72" t="s">
        <v>89</v>
      </c>
      <c r="U9" s="72" t="s">
        <v>90</v>
      </c>
      <c r="V9" s="74" t="s">
        <v>157</v>
      </c>
      <c r="W9" s="72" t="s">
        <v>102</v>
      </c>
      <c r="X9" s="72" t="s">
        <v>158</v>
      </c>
      <c r="Y9" s="72" t="s">
        <v>104</v>
      </c>
      <c r="Z9" s="72" t="str">
        <f>VLOOKUP(D9,TIPOLOGIAS!A:F,5,0)</f>
        <v>TERRESTRE</v>
      </c>
      <c r="AA9" s="72" t="s">
        <v>159</v>
      </c>
      <c r="AB9" s="76">
        <v>1</v>
      </c>
      <c r="AC9" s="77">
        <f>IF(AND(W9="SOPORTE_TELEFÓNICO",OR(U9="SIN CONTACTO CON EL CB",U9="NÚMEROS DE CONTACTO ERRADOS")),0,IF(W9="SOPORTE_TELEFÓNICO",'BASE DE LIQUIDACION 2025'!$B$9,IF(Y9="TIPO I",'BASE DE LIQUIDACION 2025'!$C$3,IF(Y9="TIPO II",'BASE DE LIQUIDACION 2025'!$C$4,IF(Y9="TIPO III",'BASE DE LIQUIDACION 2025'!$C$5,'BASE DE LIQUIDACION 2025'!$C$6)))))</f>
        <v>44559.563999999998</v>
      </c>
      <c r="AD9" s="77">
        <f>IF(W9="SOPORTE_TELEFÓNICO",AC9,CIERRES!AB9*CIERRES!AC9)</f>
        <v>44559.563999999998</v>
      </c>
    </row>
    <row r="10" spans="1:30" s="64" customFormat="1" ht="13.15">
      <c r="A10" s="72" t="s">
        <v>138</v>
      </c>
      <c r="B10" s="72" t="str">
        <f>VLOOKUP(A10,'CENTRO DE COSTOS'!A:D,4,FALSE)</f>
        <v>WILLIAM ASDRUBAL ROZO ROZO</v>
      </c>
      <c r="C10" s="72" t="str">
        <f>VLOOKUP(A10,'CENTRO DE COSTOS'!A:C,2,FALSE)</f>
        <v>0004-0004</v>
      </c>
      <c r="D10" s="72">
        <v>11001</v>
      </c>
      <c r="E10" s="72" t="s">
        <v>160</v>
      </c>
      <c r="F10" s="72">
        <v>58581</v>
      </c>
      <c r="G10" s="72" t="s">
        <v>80</v>
      </c>
      <c r="H10" s="72" t="s">
        <v>140</v>
      </c>
      <c r="I10" s="72" t="s">
        <v>138</v>
      </c>
      <c r="J10" s="72" t="s">
        <v>161</v>
      </c>
      <c r="K10" s="72" t="s">
        <v>84</v>
      </c>
      <c r="L10" s="72" t="s">
        <v>162</v>
      </c>
      <c r="M10" s="73">
        <v>45868.665972222225</v>
      </c>
      <c r="N10" s="73">
        <v>45870.761805555558</v>
      </c>
      <c r="O10" s="63"/>
      <c r="P10" s="74" t="s">
        <v>86</v>
      </c>
      <c r="Q10" s="72" t="s">
        <v>86</v>
      </c>
      <c r="R10" s="75" t="s">
        <v>100</v>
      </c>
      <c r="S10" s="75" t="s">
        <v>100</v>
      </c>
      <c r="T10" s="72" t="s">
        <v>89</v>
      </c>
      <c r="U10" s="72" t="s">
        <v>90</v>
      </c>
      <c r="V10" s="74" t="s">
        <v>163</v>
      </c>
      <c r="W10" s="72" t="s">
        <v>102</v>
      </c>
      <c r="X10" s="72">
        <v>0</v>
      </c>
      <c r="Y10" s="72" t="s">
        <v>104</v>
      </c>
      <c r="Z10" s="72" t="str">
        <f>VLOOKUP(D10,TIPOLOGIAS!A:F,5,0)</f>
        <v>TERRESTRE</v>
      </c>
      <c r="AA10" s="72" t="s">
        <v>164</v>
      </c>
      <c r="AB10" s="76">
        <v>1</v>
      </c>
      <c r="AC10" s="77">
        <f>IF(AND(W10="SOPORTE_TELEFÓNICO",OR(U10="SIN CONTACTO CON EL CB",U10="NÚMEROS DE CONTACTO ERRADOS")),0,IF(W10="SOPORTE_TELEFÓNICO",'BASE DE LIQUIDACION 2025'!$B$9,IF(Y10="TIPO I",'BASE DE LIQUIDACION 2025'!$C$3,IF(Y10="TIPO II",'BASE DE LIQUIDACION 2025'!$C$4,IF(Y10="TIPO III",'BASE DE LIQUIDACION 2025'!$C$5,'BASE DE LIQUIDACION 2025'!$C$6)))))</f>
        <v>44559.563999999998</v>
      </c>
      <c r="AD10" s="77">
        <f>IF(W10="SOPORTE_TELEFÓNICO",AC10,CIERRES!AB10*CIERRES!AC10)</f>
        <v>44559.563999999998</v>
      </c>
    </row>
    <row r="11" spans="1:30" s="64" customFormat="1" ht="13.15">
      <c r="A11" s="72" t="s">
        <v>138</v>
      </c>
      <c r="B11" s="72" t="str">
        <f>VLOOKUP(A11,'CENTRO DE COSTOS'!A:D,4,FALSE)</f>
        <v>WILLIAM ASDRUBAL ROZO ROZO</v>
      </c>
      <c r="C11" s="72" t="str">
        <f>VLOOKUP(A11,'CENTRO DE COSTOS'!A:C,2,FALSE)</f>
        <v>0004-0004</v>
      </c>
      <c r="D11" s="72">
        <v>11001</v>
      </c>
      <c r="E11" s="72" t="s">
        <v>165</v>
      </c>
      <c r="F11" s="72">
        <v>74001</v>
      </c>
      <c r="G11" s="72" t="s">
        <v>80</v>
      </c>
      <c r="H11" s="72" t="s">
        <v>140</v>
      </c>
      <c r="I11" s="72" t="s">
        <v>138</v>
      </c>
      <c r="J11" s="72" t="s">
        <v>166</v>
      </c>
      <c r="K11" s="72" t="s">
        <v>84</v>
      </c>
      <c r="L11" s="72" t="s">
        <v>167</v>
      </c>
      <c r="M11" s="73">
        <v>45868.665972222225</v>
      </c>
      <c r="N11" s="73">
        <v>45870.771527777775</v>
      </c>
      <c r="O11" s="63"/>
      <c r="P11" s="74" t="s">
        <v>86</v>
      </c>
      <c r="Q11" s="72" t="s">
        <v>86</v>
      </c>
      <c r="R11" s="75" t="s">
        <v>100</v>
      </c>
      <c r="S11" s="75" t="s">
        <v>100</v>
      </c>
      <c r="T11" s="72" t="s">
        <v>113</v>
      </c>
      <c r="U11" s="72" t="s">
        <v>114</v>
      </c>
      <c r="V11" s="74" t="s">
        <v>168</v>
      </c>
      <c r="W11" s="72" t="s">
        <v>102</v>
      </c>
      <c r="X11" s="72">
        <v>0</v>
      </c>
      <c r="Y11" s="72" t="s">
        <v>104</v>
      </c>
      <c r="Z11" s="72" t="str">
        <f>VLOOKUP(D11,TIPOLOGIAS!A:F,5,0)</f>
        <v>TERRESTRE</v>
      </c>
      <c r="AA11" s="72" t="s">
        <v>164</v>
      </c>
      <c r="AB11" s="76">
        <v>1</v>
      </c>
      <c r="AC11" s="77">
        <f>IF(AND(W11="SOPORTE_TELEFÓNICO",OR(U11="SIN CONTACTO CON EL CB",U11="NÚMEROS DE CONTACTO ERRADOS")),0,IF(W11="SOPORTE_TELEFÓNICO",'BASE DE LIQUIDACION 2025'!$B$9,IF(Y11="TIPO I",'BASE DE LIQUIDACION 2025'!$C$3,IF(Y11="TIPO II",'BASE DE LIQUIDACION 2025'!$C$4,IF(Y11="TIPO III",'BASE DE LIQUIDACION 2025'!$C$5,'BASE DE LIQUIDACION 2025'!$C$6)))))</f>
        <v>44559.563999999998</v>
      </c>
      <c r="AD11" s="77">
        <f>IF(W11="SOPORTE_TELEFÓNICO",AC11,CIERRES!AB11*CIERRES!AC11)</f>
        <v>44559.563999999998</v>
      </c>
    </row>
    <row r="12" spans="1:30" s="64" customFormat="1" ht="13.15">
      <c r="A12" s="72" t="s">
        <v>169</v>
      </c>
      <c r="B12" s="72" t="str">
        <f>VLOOKUP(A12,'CENTRO DE COSTOS'!A:D,4,FALSE)</f>
        <v>MIGUEL JULIÁN HERNÁNDEZ GUARÍN</v>
      </c>
      <c r="C12" s="72" t="str">
        <f>VLOOKUP(A12,'CENTRO DE COSTOS'!A:C,2,FALSE)</f>
        <v>0004-0008</v>
      </c>
      <c r="D12" s="72">
        <v>68235</v>
      </c>
      <c r="E12" s="72" t="s">
        <v>170</v>
      </c>
      <c r="F12" s="72">
        <v>78424</v>
      </c>
      <c r="G12" s="72" t="s">
        <v>80</v>
      </c>
      <c r="H12" s="72" t="s">
        <v>171</v>
      </c>
      <c r="I12" s="72" t="s">
        <v>172</v>
      </c>
      <c r="J12" s="72" t="s">
        <v>173</v>
      </c>
      <c r="K12" s="72" t="s">
        <v>84</v>
      </c>
      <c r="L12" s="72" t="s">
        <v>174</v>
      </c>
      <c r="M12" s="73">
        <v>45868.665972222225</v>
      </c>
      <c r="N12" s="73">
        <v>45871.380555555559</v>
      </c>
      <c r="O12" s="63"/>
      <c r="P12" s="74" t="s">
        <v>86</v>
      </c>
      <c r="Q12" s="72" t="s">
        <v>86</v>
      </c>
      <c r="R12" s="75" t="s">
        <v>100</v>
      </c>
      <c r="S12" s="75" t="s">
        <v>100</v>
      </c>
      <c r="T12" s="72" t="s">
        <v>89</v>
      </c>
      <c r="U12" s="72" t="s">
        <v>90</v>
      </c>
      <c r="V12" s="74" t="s">
        <v>175</v>
      </c>
      <c r="W12" s="72" t="s">
        <v>92</v>
      </c>
      <c r="X12" s="72">
        <v>0</v>
      </c>
      <c r="Y12" s="72" t="s">
        <v>176</v>
      </c>
      <c r="Z12" s="72" t="str">
        <f>VLOOKUP(D12,TIPOLOGIAS!A:F,5,0)</f>
        <v>TERRESTRE</v>
      </c>
      <c r="AA12" s="72" t="s">
        <v>177</v>
      </c>
      <c r="AB12" s="76">
        <v>0</v>
      </c>
      <c r="AC12" s="77">
        <f>IF(AND(W12="SOPORTE_TELEFÓNICO",OR(U12="SIN CONTACTO CON EL CB",U12="NÚMEROS DE CONTACTO ERRADOS")),0,IF(W12="SOPORTE_TELEFÓNICO",'BASE DE LIQUIDACION 2025'!$B$9,IF(Y12="TIPO I",'BASE DE LIQUIDACION 2025'!$C$3,IF(Y12="TIPO II",'BASE DE LIQUIDACION 2025'!$C$4,IF(Y12="TIPO III",'BASE DE LIQUIDACION 2025'!$C$5,'BASE DE LIQUIDACION 2025'!$C$6)))))</f>
        <v>37904.612000000001</v>
      </c>
      <c r="AD12" s="77">
        <f>IF(W12="SOPORTE_TELEFÓNICO",AC12,CIERRES!AB12*CIERRES!AC12)</f>
        <v>37904.612000000001</v>
      </c>
    </row>
    <row r="13" spans="1:30" s="64" customFormat="1" ht="13.15">
      <c r="A13" s="72" t="s">
        <v>138</v>
      </c>
      <c r="B13" s="72" t="str">
        <f>VLOOKUP(A13,'CENTRO DE COSTOS'!A:D,4,FALSE)</f>
        <v>WILLIAM ASDRUBAL ROZO ROZO</v>
      </c>
      <c r="C13" s="72" t="str">
        <f>VLOOKUP(A13,'CENTRO DE COSTOS'!A:C,2,FALSE)</f>
        <v>0004-0004</v>
      </c>
      <c r="D13" s="72">
        <v>11001</v>
      </c>
      <c r="E13" s="72" t="s">
        <v>178</v>
      </c>
      <c r="F13" s="72">
        <v>57327</v>
      </c>
      <c r="G13" s="72" t="s">
        <v>80</v>
      </c>
      <c r="H13" s="72" t="s">
        <v>140</v>
      </c>
      <c r="I13" s="72" t="s">
        <v>138</v>
      </c>
      <c r="J13" s="72" t="s">
        <v>179</v>
      </c>
      <c r="K13" s="72" t="s">
        <v>84</v>
      </c>
      <c r="L13" s="72" t="s">
        <v>180</v>
      </c>
      <c r="M13" s="73">
        <v>45868.665972222225</v>
      </c>
      <c r="N13" s="73">
        <v>45871.48541666667</v>
      </c>
      <c r="O13" s="63"/>
      <c r="P13" s="74" t="s">
        <v>86</v>
      </c>
      <c r="Q13" s="72" t="s">
        <v>86</v>
      </c>
      <c r="R13" s="75" t="s">
        <v>100</v>
      </c>
      <c r="S13" s="75" t="s">
        <v>100</v>
      </c>
      <c r="T13" s="72" t="s">
        <v>89</v>
      </c>
      <c r="U13" s="72" t="s">
        <v>90</v>
      </c>
      <c r="V13" s="74" t="s">
        <v>181</v>
      </c>
      <c r="W13" s="72" t="s">
        <v>102</v>
      </c>
      <c r="X13" s="72">
        <v>0</v>
      </c>
      <c r="Y13" s="72" t="s">
        <v>104</v>
      </c>
      <c r="Z13" s="72" t="str">
        <f>VLOOKUP(D13,TIPOLOGIAS!A:F,5,0)</f>
        <v>TERRESTRE</v>
      </c>
      <c r="AA13" s="72" t="s">
        <v>182</v>
      </c>
      <c r="AB13" s="76">
        <v>1</v>
      </c>
      <c r="AC13" s="77">
        <f>IF(AND(W13="SOPORTE_TELEFÓNICO",OR(U13="SIN CONTACTO CON EL CB",U13="NÚMEROS DE CONTACTO ERRADOS")),0,IF(W13="SOPORTE_TELEFÓNICO",'BASE DE LIQUIDACION 2025'!$B$9,IF(Y13="TIPO I",'BASE DE LIQUIDACION 2025'!$C$3,IF(Y13="TIPO II",'BASE DE LIQUIDACION 2025'!$C$4,IF(Y13="TIPO III",'BASE DE LIQUIDACION 2025'!$C$5,'BASE DE LIQUIDACION 2025'!$C$6)))))</f>
        <v>44559.563999999998</v>
      </c>
      <c r="AD13" s="77">
        <f>IF(W13="SOPORTE_TELEFÓNICO",AC13,CIERRES!AB13*CIERRES!AC13)</f>
        <v>44559.563999999998</v>
      </c>
    </row>
    <row r="14" spans="1:30" s="64" customFormat="1" ht="13.15">
      <c r="A14" s="72" t="s">
        <v>138</v>
      </c>
      <c r="B14" s="72" t="str">
        <f>VLOOKUP(A14,'CENTRO DE COSTOS'!A:D,4,FALSE)</f>
        <v>WILLIAM ASDRUBAL ROZO ROZO</v>
      </c>
      <c r="C14" s="72" t="str">
        <f>VLOOKUP(A14,'CENTRO DE COSTOS'!A:C,2,FALSE)</f>
        <v>0004-0004</v>
      </c>
      <c r="D14" s="72">
        <v>11001</v>
      </c>
      <c r="E14" s="72" t="s">
        <v>183</v>
      </c>
      <c r="F14" s="72">
        <v>70302</v>
      </c>
      <c r="G14" s="72" t="s">
        <v>80</v>
      </c>
      <c r="H14" s="72" t="s">
        <v>140</v>
      </c>
      <c r="I14" s="72" t="s">
        <v>138</v>
      </c>
      <c r="J14" s="72" t="s">
        <v>184</v>
      </c>
      <c r="K14" s="72" t="s">
        <v>84</v>
      </c>
      <c r="L14" s="72" t="s">
        <v>185</v>
      </c>
      <c r="M14" s="73">
        <v>45867.333333333336</v>
      </c>
      <c r="N14" s="73">
        <v>45871.511111111111</v>
      </c>
      <c r="O14" s="63"/>
      <c r="P14" s="74" t="s">
        <v>86</v>
      </c>
      <c r="Q14" s="72" t="s">
        <v>112</v>
      </c>
      <c r="R14" s="75" t="s">
        <v>87</v>
      </c>
      <c r="S14" s="75" t="s">
        <v>186</v>
      </c>
      <c r="T14" s="72" t="s">
        <v>113</v>
      </c>
      <c r="U14" s="72" t="s">
        <v>114</v>
      </c>
      <c r="V14" s="74" t="s">
        <v>187</v>
      </c>
      <c r="W14" s="72" t="s">
        <v>102</v>
      </c>
      <c r="X14" s="72" t="s">
        <v>188</v>
      </c>
      <c r="Y14" s="72" t="s">
        <v>104</v>
      </c>
      <c r="Z14" s="72" t="str">
        <f>VLOOKUP(D14,TIPOLOGIAS!A:F,5,0)</f>
        <v>TERRESTRE</v>
      </c>
      <c r="AA14" s="72" t="s">
        <v>182</v>
      </c>
      <c r="AB14" s="76">
        <v>1</v>
      </c>
      <c r="AC14" s="77">
        <f>IF(AND(W14="SOPORTE_TELEFÓNICO",OR(U14="SIN CONTACTO CON EL CB",U14="NÚMEROS DE CONTACTO ERRADOS")),0,IF(W14="SOPORTE_TELEFÓNICO",'BASE DE LIQUIDACION 2025'!$B$9,IF(Y14="TIPO I",'BASE DE LIQUIDACION 2025'!$C$3,IF(Y14="TIPO II",'BASE DE LIQUIDACION 2025'!$C$4,IF(Y14="TIPO III",'BASE DE LIQUIDACION 2025'!$C$5,'BASE DE LIQUIDACION 2025'!$C$6)))))</f>
        <v>44559.563999999998</v>
      </c>
      <c r="AD14" s="77">
        <f>IF(W14="SOPORTE_TELEFÓNICO",AC14,CIERRES!AB14*CIERRES!AC14)</f>
        <v>44559.563999999998</v>
      </c>
    </row>
    <row r="15" spans="1:30" s="64" customFormat="1" ht="13.15">
      <c r="A15" s="72" t="s">
        <v>189</v>
      </c>
      <c r="B15" s="72" t="str">
        <f>VLOOKUP(A15,'CENTRO DE COSTOS'!A:D,4,FALSE)</f>
        <v>KEVIN ALEXIS CORZO BUSTOS</v>
      </c>
      <c r="C15" s="72" t="str">
        <f>VLOOKUP(A15,'CENTRO DE COSTOS'!A:C,2,FALSE)</f>
        <v>0004-0007</v>
      </c>
      <c r="D15" s="72">
        <v>41615</v>
      </c>
      <c r="E15" s="72" t="s">
        <v>190</v>
      </c>
      <c r="F15" s="72">
        <v>78964</v>
      </c>
      <c r="G15" s="72" t="s">
        <v>80</v>
      </c>
      <c r="H15" s="72" t="s">
        <v>191</v>
      </c>
      <c r="I15" s="72" t="s">
        <v>192</v>
      </c>
      <c r="J15" s="72" t="s">
        <v>193</v>
      </c>
      <c r="K15" s="72" t="s">
        <v>84</v>
      </c>
      <c r="L15" s="72" t="s">
        <v>194</v>
      </c>
      <c r="M15" s="73">
        <v>45868.665972222225</v>
      </c>
      <c r="N15" s="73">
        <v>45871.569444444445</v>
      </c>
      <c r="O15" s="63"/>
      <c r="P15" s="74" t="s">
        <v>86</v>
      </c>
      <c r="Q15" s="72" t="s">
        <v>86</v>
      </c>
      <c r="R15" s="75" t="s">
        <v>100</v>
      </c>
      <c r="S15" s="75" t="s">
        <v>100</v>
      </c>
      <c r="T15" s="72" t="s">
        <v>195</v>
      </c>
      <c r="U15" s="72" t="s">
        <v>196</v>
      </c>
      <c r="V15" s="74" t="s">
        <v>197</v>
      </c>
      <c r="W15" s="72" t="s">
        <v>102</v>
      </c>
      <c r="X15" s="72">
        <v>0</v>
      </c>
      <c r="Y15" s="72" t="s">
        <v>104</v>
      </c>
      <c r="Z15" s="72" t="str">
        <f>VLOOKUP(D15,TIPOLOGIAS!A:F,5,0)</f>
        <v>TERRESTRE</v>
      </c>
      <c r="AA15" s="72" t="s">
        <v>198</v>
      </c>
      <c r="AB15" s="76">
        <v>1</v>
      </c>
      <c r="AC15" s="77">
        <f>IF(AND(W15="SOPORTE_TELEFÓNICO",OR(U15="SIN CONTACTO CON EL CB",U15="NÚMEROS DE CONTACTO ERRADOS")),0,IF(W15="SOPORTE_TELEFÓNICO",'BASE DE LIQUIDACION 2025'!$B$9,IF(Y15="TIPO I",'BASE DE LIQUIDACION 2025'!$C$3,IF(Y15="TIPO II",'BASE DE LIQUIDACION 2025'!$C$4,IF(Y15="TIPO III",'BASE DE LIQUIDACION 2025'!$C$5,'BASE DE LIQUIDACION 2025'!$C$6)))))</f>
        <v>44559.563999999998</v>
      </c>
      <c r="AD15" s="77">
        <f>IF(W15="SOPORTE_TELEFÓNICO",AC15,CIERRES!AB15*CIERRES!AC15)</f>
        <v>44559.563999999998</v>
      </c>
    </row>
    <row r="16" spans="1:30" s="64" customFormat="1" ht="13.15">
      <c r="A16" s="72" t="s">
        <v>106</v>
      </c>
      <c r="B16" s="72" t="str">
        <f>VLOOKUP(A16,'CENTRO DE COSTOS'!A:D,4,FALSE)</f>
        <v>KEVIN ALEXIS CORZO BUSTOS</v>
      </c>
      <c r="C16" s="72" t="str">
        <f>VLOOKUP(A16,'CENTRO DE COSTOS'!A:C,2,FALSE)</f>
        <v>0004-0007</v>
      </c>
      <c r="D16" s="72">
        <v>50001</v>
      </c>
      <c r="E16" s="72" t="s">
        <v>199</v>
      </c>
      <c r="F16" s="72">
        <v>63562</v>
      </c>
      <c r="G16" s="72" t="s">
        <v>80</v>
      </c>
      <c r="H16" s="72" t="s">
        <v>108</v>
      </c>
      <c r="I16" s="72" t="s">
        <v>106</v>
      </c>
      <c r="J16" s="72" t="s">
        <v>200</v>
      </c>
      <c r="K16" s="72" t="s">
        <v>84</v>
      </c>
      <c r="L16" s="72" t="s">
        <v>201</v>
      </c>
      <c r="M16" s="73">
        <v>45868.665972222225</v>
      </c>
      <c r="N16" s="73">
        <v>45873.344444444447</v>
      </c>
      <c r="O16" s="63"/>
      <c r="P16" s="74" t="s">
        <v>86</v>
      </c>
      <c r="Q16" s="72" t="s">
        <v>86</v>
      </c>
      <c r="R16" s="75" t="s">
        <v>100</v>
      </c>
      <c r="S16" s="75" t="s">
        <v>100</v>
      </c>
      <c r="T16" s="72" t="s">
        <v>89</v>
      </c>
      <c r="U16" s="72" t="s">
        <v>90</v>
      </c>
      <c r="V16" s="74" t="s">
        <v>202</v>
      </c>
      <c r="W16" s="72" t="s">
        <v>102</v>
      </c>
      <c r="X16" s="72">
        <v>0</v>
      </c>
      <c r="Y16" s="72" t="s">
        <v>104</v>
      </c>
      <c r="Z16" s="72" t="str">
        <f>VLOOKUP(D16,TIPOLOGIAS!A:F,5,0)</f>
        <v>TERRESTRE</v>
      </c>
      <c r="AA16" s="72" t="s">
        <v>203</v>
      </c>
      <c r="AB16" s="76">
        <v>1</v>
      </c>
      <c r="AC16" s="77">
        <f>IF(AND(W16="SOPORTE_TELEFÓNICO",OR(U16="SIN CONTACTO CON EL CB",U16="NÚMEROS DE CONTACTO ERRADOS")),0,IF(W16="SOPORTE_TELEFÓNICO",'BASE DE LIQUIDACION 2025'!$B$9,IF(Y16="TIPO I",'BASE DE LIQUIDACION 2025'!$C$3,IF(Y16="TIPO II",'BASE DE LIQUIDACION 2025'!$C$4,IF(Y16="TIPO III",'BASE DE LIQUIDACION 2025'!$C$5,'BASE DE LIQUIDACION 2025'!$C$6)))))</f>
        <v>44559.563999999998</v>
      </c>
      <c r="AD16" s="77">
        <f>IF(W16="SOPORTE_TELEFÓNICO",AC16,CIERRES!AB16*CIERRES!AC16)</f>
        <v>44559.563999999998</v>
      </c>
    </row>
    <row r="17" spans="1:30" s="64" customFormat="1" ht="13.15">
      <c r="A17" s="72" t="s">
        <v>78</v>
      </c>
      <c r="B17" s="72" t="str">
        <f>VLOOKUP(A17,'CENTRO DE COSTOS'!A:D,4,FALSE)</f>
        <v>JUAN SEBASTIÁN RÍOS CASTRILLÓN</v>
      </c>
      <c r="C17" s="72" t="str">
        <f>VLOOKUP(A17,'CENTRO DE COSTOS'!A:C,2,FALSE)</f>
        <v>0004-0005</v>
      </c>
      <c r="D17" s="72">
        <v>5490</v>
      </c>
      <c r="E17" s="72" t="s">
        <v>204</v>
      </c>
      <c r="F17" s="72">
        <v>71512</v>
      </c>
      <c r="G17" s="72" t="s">
        <v>80</v>
      </c>
      <c r="H17" s="72" t="s">
        <v>129</v>
      </c>
      <c r="I17" s="72" t="s">
        <v>205</v>
      </c>
      <c r="J17" s="72" t="s">
        <v>206</v>
      </c>
      <c r="K17" s="72" t="s">
        <v>84</v>
      </c>
      <c r="L17" s="72" t="s">
        <v>207</v>
      </c>
      <c r="M17" s="73">
        <v>45867.333333333336</v>
      </c>
      <c r="N17" s="73">
        <v>45873.352777777778</v>
      </c>
      <c r="O17" s="63"/>
      <c r="P17" s="74" t="s">
        <v>86</v>
      </c>
      <c r="Q17" s="72" t="s">
        <v>86</v>
      </c>
      <c r="R17" s="75" t="s">
        <v>87</v>
      </c>
      <c r="S17" s="75" t="s">
        <v>88</v>
      </c>
      <c r="T17" s="72" t="s">
        <v>89</v>
      </c>
      <c r="U17" s="72" t="s">
        <v>90</v>
      </c>
      <c r="V17" s="74" t="s">
        <v>208</v>
      </c>
      <c r="W17" s="72" t="s">
        <v>92</v>
      </c>
      <c r="X17" s="72">
        <v>0</v>
      </c>
      <c r="Y17" s="72" t="s">
        <v>125</v>
      </c>
      <c r="Z17" s="72" t="str">
        <f>VLOOKUP(D17,TIPOLOGIAS!A:F,5,0)</f>
        <v>TERRESTRE</v>
      </c>
      <c r="AA17" s="72" t="s">
        <v>94</v>
      </c>
      <c r="AB17" s="76">
        <v>0</v>
      </c>
      <c r="AC17" s="77">
        <f>IF(AND(W17="SOPORTE_TELEFÓNICO",OR(U17="SIN CONTACTO CON EL CB",U17="NÚMEROS DE CONTACTO ERRADOS")),0,IF(W17="SOPORTE_TELEFÓNICO",'BASE DE LIQUIDACION 2025'!$B$9,IF(Y17="TIPO I",'BASE DE LIQUIDACION 2025'!$C$3,IF(Y17="TIPO II",'BASE DE LIQUIDACION 2025'!$C$4,IF(Y17="TIPO III",'BASE DE LIQUIDACION 2025'!$C$5,'BASE DE LIQUIDACION 2025'!$C$6)))))</f>
        <v>37904.612000000001</v>
      </c>
      <c r="AD17" s="77">
        <f>IF(W17="SOPORTE_TELEFÓNICO",AC17,CIERRES!AB17*CIERRES!AC17)</f>
        <v>37904.612000000001</v>
      </c>
    </row>
    <row r="18" spans="1:30" s="64" customFormat="1" ht="13.15">
      <c r="A18" s="72" t="s">
        <v>78</v>
      </c>
      <c r="B18" s="72" t="str">
        <f>VLOOKUP(A18,'CENTRO DE COSTOS'!A:D,4,FALSE)</f>
        <v>JUAN SEBASTIÁN RÍOS CASTRILLÓN</v>
      </c>
      <c r="C18" s="72" t="str">
        <f>VLOOKUP(A18,'CENTRO DE COSTOS'!A:C,2,FALSE)</f>
        <v>0004-0005</v>
      </c>
      <c r="D18" s="72">
        <v>5837</v>
      </c>
      <c r="E18" s="72" t="s">
        <v>209</v>
      </c>
      <c r="F18" s="72">
        <v>37620</v>
      </c>
      <c r="G18" s="72" t="s">
        <v>80</v>
      </c>
      <c r="H18" s="72" t="s">
        <v>129</v>
      </c>
      <c r="I18" s="72" t="s">
        <v>210</v>
      </c>
      <c r="J18" s="72" t="s">
        <v>211</v>
      </c>
      <c r="K18" s="72" t="s">
        <v>84</v>
      </c>
      <c r="L18" s="72" t="s">
        <v>212</v>
      </c>
      <c r="M18" s="73">
        <v>45867.333333333336</v>
      </c>
      <c r="N18" s="73">
        <v>45873.36041666667</v>
      </c>
      <c r="O18" s="63"/>
      <c r="P18" s="74" t="s">
        <v>86</v>
      </c>
      <c r="Q18" s="72" t="s">
        <v>86</v>
      </c>
      <c r="R18" s="75" t="s">
        <v>87</v>
      </c>
      <c r="S18" s="75" t="s">
        <v>88</v>
      </c>
      <c r="T18" s="72" t="s">
        <v>89</v>
      </c>
      <c r="U18" s="72" t="s">
        <v>90</v>
      </c>
      <c r="V18" s="74" t="s">
        <v>213</v>
      </c>
      <c r="W18" s="72" t="s">
        <v>92</v>
      </c>
      <c r="X18" s="72">
        <v>0</v>
      </c>
      <c r="Y18" s="72" t="s">
        <v>125</v>
      </c>
      <c r="Z18" s="72" t="str">
        <f>VLOOKUP(D18,TIPOLOGIAS!A:F,5,0)</f>
        <v>TERRESTRE</v>
      </c>
      <c r="AA18" s="72" t="s">
        <v>94</v>
      </c>
      <c r="AB18" s="76">
        <v>0</v>
      </c>
      <c r="AC18" s="77">
        <f>IF(AND(W18="SOPORTE_TELEFÓNICO",OR(U18="SIN CONTACTO CON EL CB",U18="NÚMEROS DE CONTACTO ERRADOS")),0,IF(W18="SOPORTE_TELEFÓNICO",'BASE DE LIQUIDACION 2025'!$B$9,IF(Y18="TIPO I",'BASE DE LIQUIDACION 2025'!$C$3,IF(Y18="TIPO II",'BASE DE LIQUIDACION 2025'!$C$4,IF(Y18="TIPO III",'BASE DE LIQUIDACION 2025'!$C$5,'BASE DE LIQUIDACION 2025'!$C$6)))))</f>
        <v>37904.612000000001</v>
      </c>
      <c r="AD18" s="77">
        <f>IF(W18="SOPORTE_TELEFÓNICO",AC18,CIERRES!AB18*CIERRES!AC18)</f>
        <v>37904.612000000001</v>
      </c>
    </row>
    <row r="19" spans="1:30" s="64" customFormat="1" ht="13.15">
      <c r="A19" s="72" t="s">
        <v>127</v>
      </c>
      <c r="B19" s="72" t="str">
        <f>VLOOKUP(A19,'CENTRO DE COSTOS'!A:D,4,FALSE)</f>
        <v>JUAN SEBASTIÁN RÍOS CASTRILLÓN</v>
      </c>
      <c r="C19" s="72" t="str">
        <f>VLOOKUP(A19,'CENTRO DE COSTOS'!A:C,2,FALSE)</f>
        <v>0004-0005</v>
      </c>
      <c r="D19" s="72">
        <v>5197</v>
      </c>
      <c r="E19" s="72" t="s">
        <v>214</v>
      </c>
      <c r="F19" s="72">
        <v>59566</v>
      </c>
      <c r="G19" s="72" t="s">
        <v>80</v>
      </c>
      <c r="H19" s="72" t="s">
        <v>129</v>
      </c>
      <c r="I19" s="72" t="s">
        <v>215</v>
      </c>
      <c r="J19" s="72" t="s">
        <v>216</v>
      </c>
      <c r="K19" s="72" t="s">
        <v>84</v>
      </c>
      <c r="L19" s="72" t="s">
        <v>217</v>
      </c>
      <c r="M19" s="73">
        <v>45867.333333333336</v>
      </c>
      <c r="N19" s="73">
        <v>45873.46875</v>
      </c>
      <c r="O19" s="63"/>
      <c r="P19" s="74" t="s">
        <v>86</v>
      </c>
      <c r="Q19" s="72" t="s">
        <v>86</v>
      </c>
      <c r="R19" s="75" t="s">
        <v>87</v>
      </c>
      <c r="S19" s="75" t="s">
        <v>88</v>
      </c>
      <c r="T19" s="72" t="s">
        <v>89</v>
      </c>
      <c r="U19" s="72" t="s">
        <v>90</v>
      </c>
      <c r="V19" s="74" t="s">
        <v>218</v>
      </c>
      <c r="W19" s="72" t="s">
        <v>102</v>
      </c>
      <c r="X19" s="72">
        <v>0</v>
      </c>
      <c r="Y19" s="72" t="s">
        <v>125</v>
      </c>
      <c r="Z19" s="72" t="str">
        <f>VLOOKUP(D19,TIPOLOGIAS!A:F,5,0)</f>
        <v>TERRESTRE</v>
      </c>
      <c r="AA19" s="72" t="s">
        <v>219</v>
      </c>
      <c r="AB19" s="76">
        <v>1</v>
      </c>
      <c r="AC19" s="77">
        <f>IF(AND(W19="SOPORTE_TELEFÓNICO",OR(U19="SIN CONTACTO CON EL CB",U19="NÚMEROS DE CONTACTO ERRADOS")),0,IF(W19="SOPORTE_TELEFÓNICO",'BASE DE LIQUIDACION 2025'!$B$9,IF(Y19="TIPO I",'BASE DE LIQUIDACION 2025'!$C$3,IF(Y19="TIPO II",'BASE DE LIQUIDACION 2025'!$C$4,IF(Y19="TIPO III",'BASE DE LIQUIDACION 2025'!$C$5,'BASE DE LIQUIDACION 2025'!$C$6)))))</f>
        <v>134410.88400000002</v>
      </c>
      <c r="AD19" s="77">
        <f>IF(W19="SOPORTE_TELEFÓNICO",AC19,CIERRES!AB19*CIERRES!AC19)</f>
        <v>134410.88400000002</v>
      </c>
    </row>
    <row r="20" spans="1:30" s="64" customFormat="1" ht="13.15">
      <c r="A20" s="72" t="s">
        <v>138</v>
      </c>
      <c r="B20" s="72" t="str">
        <f>VLOOKUP(A20,'CENTRO DE COSTOS'!A:D,4,FALSE)</f>
        <v>WILLIAM ASDRUBAL ROZO ROZO</v>
      </c>
      <c r="C20" s="72" t="str">
        <f>VLOOKUP(A20,'CENTRO DE COSTOS'!A:C,2,FALSE)</f>
        <v>0004-0004</v>
      </c>
      <c r="D20" s="72">
        <v>25200</v>
      </c>
      <c r="E20" s="72" t="s">
        <v>220</v>
      </c>
      <c r="F20" s="72">
        <v>37315</v>
      </c>
      <c r="G20" s="72" t="s">
        <v>80</v>
      </c>
      <c r="H20" s="72" t="s">
        <v>140</v>
      </c>
      <c r="I20" s="72" t="s">
        <v>221</v>
      </c>
      <c r="J20" s="72" t="s">
        <v>222</v>
      </c>
      <c r="K20" s="72" t="s">
        <v>84</v>
      </c>
      <c r="L20" s="72" t="s">
        <v>223</v>
      </c>
      <c r="M20" s="73">
        <v>45868.665972222225</v>
      </c>
      <c r="N20" s="73">
        <v>45873.634722222225</v>
      </c>
      <c r="O20" s="63"/>
      <c r="P20" s="74" t="s">
        <v>86</v>
      </c>
      <c r="Q20" s="72" t="s">
        <v>112</v>
      </c>
      <c r="R20" s="75" t="s">
        <v>100</v>
      </c>
      <c r="S20" s="75" t="s">
        <v>100</v>
      </c>
      <c r="T20" s="72" t="s">
        <v>89</v>
      </c>
      <c r="U20" s="72" t="s">
        <v>90</v>
      </c>
      <c r="V20" s="74" t="s">
        <v>224</v>
      </c>
      <c r="W20" s="72" t="s">
        <v>102</v>
      </c>
      <c r="X20" s="72">
        <v>0</v>
      </c>
      <c r="Y20" s="72" t="s">
        <v>125</v>
      </c>
      <c r="Z20" s="72" t="str">
        <f>VLOOKUP(D20,TIPOLOGIAS!A:F,5,0)</f>
        <v>TERRESTRE</v>
      </c>
      <c r="AA20" s="72" t="s">
        <v>225</v>
      </c>
      <c r="AB20" s="76">
        <v>1</v>
      </c>
      <c r="AC20" s="77">
        <f>IF(AND(W20="SOPORTE_TELEFÓNICO",OR(U20="SIN CONTACTO CON EL CB",U20="NÚMEROS DE CONTACTO ERRADOS")),0,IF(W20="SOPORTE_TELEFÓNICO",'BASE DE LIQUIDACION 2025'!$B$9,IF(Y20="TIPO I",'BASE DE LIQUIDACION 2025'!$C$3,IF(Y20="TIPO II",'BASE DE LIQUIDACION 2025'!$C$4,IF(Y20="TIPO III",'BASE DE LIQUIDACION 2025'!$C$5,'BASE DE LIQUIDACION 2025'!$C$6)))))</f>
        <v>134410.88400000002</v>
      </c>
      <c r="AD20" s="77">
        <f>IF(W20="SOPORTE_TELEFÓNICO",AC20,CIERRES!AB20*CIERRES!AC20)</f>
        <v>134410.88400000002</v>
      </c>
    </row>
    <row r="21" spans="1:30" s="64" customFormat="1" ht="13.15">
      <c r="A21" s="72" t="s">
        <v>226</v>
      </c>
      <c r="B21" s="72" t="str">
        <f>VLOOKUP(A21,'CENTRO DE COSTOS'!A:D,4,FALSE)</f>
        <v>JOSE MAURICIO HERNANDEZ ROJAS</v>
      </c>
      <c r="C21" s="72" t="str">
        <f>VLOOKUP(A21,'CENTRO DE COSTOS'!A:C,2,FALSE)</f>
        <v>0004-0001</v>
      </c>
      <c r="D21" s="72">
        <v>13001</v>
      </c>
      <c r="E21" s="72" t="s">
        <v>227</v>
      </c>
      <c r="F21" s="72">
        <v>43018</v>
      </c>
      <c r="G21" s="72" t="s">
        <v>80</v>
      </c>
      <c r="H21" s="72" t="s">
        <v>228</v>
      </c>
      <c r="I21" s="72" t="s">
        <v>226</v>
      </c>
      <c r="J21" s="72" t="s">
        <v>229</v>
      </c>
      <c r="K21" s="72" t="s">
        <v>84</v>
      </c>
      <c r="L21" s="72" t="s">
        <v>230</v>
      </c>
      <c r="M21" s="73">
        <v>45868.522916666669</v>
      </c>
      <c r="N21" s="73">
        <v>45873.674305555556</v>
      </c>
      <c r="O21" s="63"/>
      <c r="P21" s="74" t="s">
        <v>86</v>
      </c>
      <c r="Q21" s="72" t="s">
        <v>112</v>
      </c>
      <c r="R21" s="75" t="s">
        <v>100</v>
      </c>
      <c r="S21" s="75" t="s">
        <v>100</v>
      </c>
      <c r="T21" s="72" t="s">
        <v>89</v>
      </c>
      <c r="U21" s="72" t="s">
        <v>231</v>
      </c>
      <c r="V21" s="74" t="s">
        <v>232</v>
      </c>
      <c r="W21" s="72" t="s">
        <v>102</v>
      </c>
      <c r="X21" s="72" t="s">
        <v>233</v>
      </c>
      <c r="Y21" s="72" t="s">
        <v>104</v>
      </c>
      <c r="Z21" s="72" t="str">
        <f>VLOOKUP(D21,TIPOLOGIAS!A:F,5,0)</f>
        <v>TERRESTRE</v>
      </c>
      <c r="AA21" s="72" t="s">
        <v>234</v>
      </c>
      <c r="AB21" s="76">
        <v>1</v>
      </c>
      <c r="AC21" s="77">
        <f>IF(AND(W21="SOPORTE_TELEFÓNICO",OR(U21="SIN CONTACTO CON EL CB",U21="NÚMEROS DE CONTACTO ERRADOS")),0,IF(W21="SOPORTE_TELEFÓNICO",'BASE DE LIQUIDACION 2025'!$B$9,IF(Y21="TIPO I",'BASE DE LIQUIDACION 2025'!$C$3,IF(Y21="TIPO II",'BASE DE LIQUIDACION 2025'!$C$4,IF(Y21="TIPO III",'BASE DE LIQUIDACION 2025'!$C$5,'BASE DE LIQUIDACION 2025'!$C$6)))))</f>
        <v>44559.563999999998</v>
      </c>
      <c r="AD21" s="77">
        <f>IF(W21="SOPORTE_TELEFÓNICO",AC21,CIERRES!AB21*CIERRES!AC21)</f>
        <v>44559.563999999998</v>
      </c>
    </row>
    <row r="22" spans="1:30" s="64" customFormat="1" ht="13.15">
      <c r="A22" s="72" t="s">
        <v>106</v>
      </c>
      <c r="B22" s="72" t="str">
        <f>VLOOKUP(A22,'CENTRO DE COSTOS'!A:D,4,FALSE)</f>
        <v>KEVIN ALEXIS CORZO BUSTOS</v>
      </c>
      <c r="C22" s="72" t="str">
        <f>VLOOKUP(A22,'CENTRO DE COSTOS'!A:C,2,FALSE)</f>
        <v>0004-0007</v>
      </c>
      <c r="D22" s="72">
        <v>50001</v>
      </c>
      <c r="E22" s="72" t="s">
        <v>235</v>
      </c>
      <c r="F22" s="72">
        <v>60579</v>
      </c>
      <c r="G22" s="72" t="s">
        <v>80</v>
      </c>
      <c r="H22" s="72" t="s">
        <v>108</v>
      </c>
      <c r="I22" s="72" t="s">
        <v>106</v>
      </c>
      <c r="J22" s="72" t="s">
        <v>236</v>
      </c>
      <c r="K22" s="72" t="s">
        <v>84</v>
      </c>
      <c r="L22" s="72" t="s">
        <v>237</v>
      </c>
      <c r="M22" s="73">
        <v>45868.665972222225</v>
      </c>
      <c r="N22" s="73">
        <v>45874.359027777777</v>
      </c>
      <c r="O22" s="63"/>
      <c r="P22" s="74" t="s">
        <v>86</v>
      </c>
      <c r="Q22" s="72" t="s">
        <v>86</v>
      </c>
      <c r="R22" s="75" t="s">
        <v>100</v>
      </c>
      <c r="S22" s="75" t="s">
        <v>100</v>
      </c>
      <c r="T22" s="72" t="s">
        <v>89</v>
      </c>
      <c r="U22" s="72" t="s">
        <v>90</v>
      </c>
      <c r="V22" s="74" t="s">
        <v>238</v>
      </c>
      <c r="W22" s="72" t="s">
        <v>92</v>
      </c>
      <c r="X22" s="72">
        <v>0</v>
      </c>
      <c r="Y22" s="72" t="s">
        <v>104</v>
      </c>
      <c r="Z22" s="72" t="str">
        <f>VLOOKUP(D22,TIPOLOGIAS!A:F,5,0)</f>
        <v>TERRESTRE</v>
      </c>
      <c r="AA22" s="72" t="s">
        <v>203</v>
      </c>
      <c r="AB22" s="76">
        <v>0</v>
      </c>
      <c r="AC22" s="77">
        <f>IF(AND(W22="SOPORTE_TELEFÓNICO",OR(U22="SIN CONTACTO CON EL CB",U22="NÚMEROS DE CONTACTO ERRADOS")),0,IF(W22="SOPORTE_TELEFÓNICO",'BASE DE LIQUIDACION 2025'!$B$9,IF(Y22="TIPO I",'BASE DE LIQUIDACION 2025'!$C$3,IF(Y22="TIPO II",'BASE DE LIQUIDACION 2025'!$C$4,IF(Y22="TIPO III",'BASE DE LIQUIDACION 2025'!$C$5,'BASE DE LIQUIDACION 2025'!$C$6)))))</f>
        <v>37904.612000000001</v>
      </c>
      <c r="AD22" s="77">
        <f>IF(W22="SOPORTE_TELEFÓNICO",AC22,CIERRES!AB22*CIERRES!AC22)</f>
        <v>37904.612000000001</v>
      </c>
    </row>
    <row r="23" spans="1:30" s="64" customFormat="1" ht="13.15">
      <c r="A23" s="72" t="s">
        <v>239</v>
      </c>
      <c r="B23" s="72" t="str">
        <f>VLOOKUP(A23,'CENTRO DE COSTOS'!A:D,4,FALSE)</f>
        <v>DIEGO FERNANDO HENAO CARDONA</v>
      </c>
      <c r="C23" s="72" t="str">
        <f>VLOOKUP(A23,'CENTRO DE COSTOS'!A:C,2,FALSE)</f>
        <v>0004-0003</v>
      </c>
      <c r="D23" s="72">
        <v>52083</v>
      </c>
      <c r="E23" s="72" t="s">
        <v>240</v>
      </c>
      <c r="F23" s="72">
        <v>64590</v>
      </c>
      <c r="G23" s="72" t="s">
        <v>80</v>
      </c>
      <c r="H23" s="72" t="s">
        <v>241</v>
      </c>
      <c r="I23" s="72" t="s">
        <v>242</v>
      </c>
      <c r="J23" s="72" t="s">
        <v>243</v>
      </c>
      <c r="K23" s="72" t="s">
        <v>84</v>
      </c>
      <c r="L23" s="72" t="s">
        <v>244</v>
      </c>
      <c r="M23" s="73">
        <v>45868.665972222225</v>
      </c>
      <c r="N23" s="73">
        <v>45875.407638888886</v>
      </c>
      <c r="O23" s="63"/>
      <c r="P23" s="74" t="s">
        <v>86</v>
      </c>
      <c r="Q23" s="72" t="s">
        <v>86</v>
      </c>
      <c r="R23" s="75" t="s">
        <v>100</v>
      </c>
      <c r="S23" s="75" t="s">
        <v>100</v>
      </c>
      <c r="T23" s="72" t="s">
        <v>89</v>
      </c>
      <c r="U23" s="72" t="s">
        <v>90</v>
      </c>
      <c r="V23" s="74" t="s">
        <v>245</v>
      </c>
      <c r="W23" s="72" t="s">
        <v>92</v>
      </c>
      <c r="X23" s="72">
        <v>0</v>
      </c>
      <c r="Y23" s="72" t="s">
        <v>116</v>
      </c>
      <c r="Z23" s="72" t="str">
        <f>VLOOKUP(D23,TIPOLOGIAS!A:F,5,0)</f>
        <v>TERRESTRE</v>
      </c>
      <c r="AA23" s="72" t="s">
        <v>246</v>
      </c>
      <c r="AB23" s="76">
        <v>0</v>
      </c>
      <c r="AC23" s="77">
        <f>IF(AND(W23="SOPORTE_TELEFÓNICO",OR(U23="SIN CONTACTO CON EL CB",U23="NÚMEROS DE CONTACTO ERRADOS")),0,IF(W23="SOPORTE_TELEFÓNICO",'BASE DE LIQUIDACION 2025'!$B$9,IF(Y23="TIPO I",'BASE DE LIQUIDACION 2025'!$C$3,IF(Y23="TIPO II",'BASE DE LIQUIDACION 2025'!$C$4,IF(Y23="TIPO III",'BASE DE LIQUIDACION 2025'!$C$5,'BASE DE LIQUIDACION 2025'!$C$6)))))</f>
        <v>37904.612000000001</v>
      </c>
      <c r="AD23" s="77">
        <f>IF(W23="SOPORTE_TELEFÓNICO",AC23,CIERRES!AB23*CIERRES!AC23)</f>
        <v>37904.612000000001</v>
      </c>
    </row>
    <row r="24" spans="1:30" s="64" customFormat="1" ht="13.15">
      <c r="A24" s="72" t="s">
        <v>247</v>
      </c>
      <c r="B24" s="72" t="str">
        <f>VLOOKUP(A24,'CENTRO DE COSTOS'!A:D,4,FALSE)</f>
        <v>MIGUEL JULIÁN HERNÁNDEZ GUARÍN</v>
      </c>
      <c r="C24" s="72" t="str">
        <f>VLOOKUP(A24,'CENTRO DE COSTOS'!A:C,2,FALSE)</f>
        <v>0004-0008</v>
      </c>
      <c r="D24" s="72">
        <v>54001</v>
      </c>
      <c r="E24" s="72" t="s">
        <v>248</v>
      </c>
      <c r="F24" s="72">
        <v>71022</v>
      </c>
      <c r="G24" s="72" t="s">
        <v>80</v>
      </c>
      <c r="H24" s="72" t="s">
        <v>249</v>
      </c>
      <c r="I24" s="72" t="s">
        <v>247</v>
      </c>
      <c r="J24" s="72" t="s">
        <v>250</v>
      </c>
      <c r="K24" s="72" t="s">
        <v>84</v>
      </c>
      <c r="L24" s="72" t="s">
        <v>251</v>
      </c>
      <c r="M24" s="73">
        <v>45874.597222222219</v>
      </c>
      <c r="N24" s="73">
        <v>45875.67083333333</v>
      </c>
      <c r="O24" s="63"/>
      <c r="P24" s="74" t="s">
        <v>86</v>
      </c>
      <c r="Q24" s="72" t="s">
        <v>112</v>
      </c>
      <c r="R24" s="75" t="s">
        <v>87</v>
      </c>
      <c r="S24" s="75" t="s">
        <v>88</v>
      </c>
      <c r="T24" s="72" t="s">
        <v>89</v>
      </c>
      <c r="U24" s="72" t="s">
        <v>90</v>
      </c>
      <c r="V24" s="74" t="s">
        <v>252</v>
      </c>
      <c r="W24" s="72" t="s">
        <v>102</v>
      </c>
      <c r="X24" s="72" t="s">
        <v>253</v>
      </c>
      <c r="Y24" s="72" t="s">
        <v>104</v>
      </c>
      <c r="Z24" s="72" t="str">
        <f>VLOOKUP(D24,TIPOLOGIAS!A:F,5,0)</f>
        <v>TERRESTRE</v>
      </c>
      <c r="AA24" s="72" t="s">
        <v>254</v>
      </c>
      <c r="AB24" s="76">
        <v>1</v>
      </c>
      <c r="AC24" s="77">
        <f>IF(AND(W24="SOPORTE_TELEFÓNICO",OR(U24="SIN CONTACTO CON EL CB",U24="NÚMEROS DE CONTACTO ERRADOS")),0,IF(W24="SOPORTE_TELEFÓNICO",'BASE DE LIQUIDACION 2025'!$B$9,IF(Y24="TIPO I",'BASE DE LIQUIDACION 2025'!$C$3,IF(Y24="TIPO II",'BASE DE LIQUIDACION 2025'!$C$4,IF(Y24="TIPO III",'BASE DE LIQUIDACION 2025'!$C$5,'BASE DE LIQUIDACION 2025'!$C$6)))))</f>
        <v>44559.563999999998</v>
      </c>
      <c r="AD24" s="77">
        <f>IF(W24="SOPORTE_TELEFÓNICO",AC24,CIERRES!AB24*CIERRES!AC24)</f>
        <v>44559.563999999998</v>
      </c>
    </row>
    <row r="25" spans="1:30" s="64" customFormat="1" ht="13.15">
      <c r="A25" s="72" t="s">
        <v>189</v>
      </c>
      <c r="B25" s="72" t="str">
        <f>VLOOKUP(A25,'CENTRO DE COSTOS'!A:D,4,FALSE)</f>
        <v>KEVIN ALEXIS CORZO BUSTOS</v>
      </c>
      <c r="C25" s="72" t="str">
        <f>VLOOKUP(A25,'CENTRO DE COSTOS'!A:C,2,FALSE)</f>
        <v>0004-0007</v>
      </c>
      <c r="D25" s="72">
        <v>41001</v>
      </c>
      <c r="E25" s="72" t="s">
        <v>255</v>
      </c>
      <c r="F25" s="72">
        <v>64929</v>
      </c>
      <c r="G25" s="72" t="s">
        <v>80</v>
      </c>
      <c r="H25" s="72" t="s">
        <v>191</v>
      </c>
      <c r="I25" s="72" t="s">
        <v>189</v>
      </c>
      <c r="J25" s="72" t="s">
        <v>256</v>
      </c>
      <c r="K25" s="72" t="s">
        <v>84</v>
      </c>
      <c r="L25" s="72" t="s">
        <v>257</v>
      </c>
      <c r="M25" s="73">
        <v>45874.597222222219</v>
      </c>
      <c r="N25" s="73">
        <v>45875.853472222225</v>
      </c>
      <c r="O25" s="63"/>
      <c r="P25" s="74" t="s">
        <v>86</v>
      </c>
      <c r="Q25" s="72" t="s">
        <v>86</v>
      </c>
      <c r="R25" s="75" t="s">
        <v>87</v>
      </c>
      <c r="S25" s="75" t="s">
        <v>88</v>
      </c>
      <c r="T25" s="72" t="s">
        <v>89</v>
      </c>
      <c r="U25" s="72" t="s">
        <v>90</v>
      </c>
      <c r="V25" s="74" t="s">
        <v>258</v>
      </c>
      <c r="W25" s="72" t="s">
        <v>102</v>
      </c>
      <c r="X25" s="72">
        <v>0</v>
      </c>
      <c r="Y25" s="72" t="s">
        <v>104</v>
      </c>
      <c r="Z25" s="72" t="str">
        <f>VLOOKUP(D25,TIPOLOGIAS!A:F,5,0)</f>
        <v>TERRESTRE</v>
      </c>
      <c r="AA25" s="72" t="s">
        <v>259</v>
      </c>
      <c r="AB25" s="76">
        <v>1</v>
      </c>
      <c r="AC25" s="77">
        <f>IF(AND(W25="SOPORTE_TELEFÓNICO",OR(U25="SIN CONTACTO CON EL CB",U25="NÚMEROS DE CONTACTO ERRADOS")),0,IF(W25="SOPORTE_TELEFÓNICO",'BASE DE LIQUIDACION 2025'!$B$9,IF(Y25="TIPO I",'BASE DE LIQUIDACION 2025'!$C$3,IF(Y25="TIPO II",'BASE DE LIQUIDACION 2025'!$C$4,IF(Y25="TIPO III",'BASE DE LIQUIDACION 2025'!$C$5,'BASE DE LIQUIDACION 2025'!$C$6)))))</f>
        <v>44559.563999999998</v>
      </c>
      <c r="AD25" s="77">
        <f>IF(W25="SOPORTE_TELEFÓNICO",AC25,CIERRES!AB25*CIERRES!AC25)</f>
        <v>44559.563999999998</v>
      </c>
    </row>
    <row r="26" spans="1:30" s="64" customFormat="1" ht="13.15">
      <c r="A26" s="72" t="s">
        <v>260</v>
      </c>
      <c r="B26" s="72" t="str">
        <f>VLOOKUP(A26,'CENTRO DE COSTOS'!A:D,4,FALSE)</f>
        <v>JOSE MAURICIO HERNANDEZ ROJAS</v>
      </c>
      <c r="C26" s="72" t="str">
        <f>VLOOKUP(A26,'CENTRO DE COSTOS'!A:C,2,FALSE)</f>
        <v>0004-0001</v>
      </c>
      <c r="D26" s="72">
        <v>47268</v>
      </c>
      <c r="E26" s="72" t="s">
        <v>261</v>
      </c>
      <c r="F26" s="72">
        <v>53238</v>
      </c>
      <c r="G26" s="72" t="s">
        <v>80</v>
      </c>
      <c r="H26" s="72" t="s">
        <v>262</v>
      </c>
      <c r="I26" s="72" t="s">
        <v>263</v>
      </c>
      <c r="J26" s="72" t="s">
        <v>264</v>
      </c>
      <c r="K26" s="72" t="s">
        <v>84</v>
      </c>
      <c r="L26" s="72" t="s">
        <v>265</v>
      </c>
      <c r="M26" s="73">
        <v>45875.720833333333</v>
      </c>
      <c r="N26" s="73">
        <v>45877.71875</v>
      </c>
      <c r="O26" s="63"/>
      <c r="P26" s="74" t="s">
        <v>86</v>
      </c>
      <c r="Q26" s="72" t="s">
        <v>86</v>
      </c>
      <c r="R26" s="75" t="s">
        <v>87</v>
      </c>
      <c r="S26" s="75" t="s">
        <v>186</v>
      </c>
      <c r="T26" s="72" t="s">
        <v>113</v>
      </c>
      <c r="U26" s="72" t="s">
        <v>114</v>
      </c>
      <c r="V26" s="74" t="s">
        <v>266</v>
      </c>
      <c r="W26" s="72" t="s">
        <v>102</v>
      </c>
      <c r="X26" s="72">
        <v>0</v>
      </c>
      <c r="Y26" s="72" t="s">
        <v>116</v>
      </c>
      <c r="Z26" s="72" t="str">
        <f>VLOOKUP(D26,TIPOLOGIAS!A:F,5,0)</f>
        <v>TERRESTRE</v>
      </c>
      <c r="AA26" s="72" t="s">
        <v>267</v>
      </c>
      <c r="AB26" s="76">
        <v>1</v>
      </c>
      <c r="AC26" s="77">
        <f>IF(AND(W26="SOPORTE_TELEFÓNICO",OR(U26="SIN CONTACTO CON EL CB",U26="NÚMEROS DE CONTACTO ERRADOS")),0,IF(W26="SOPORTE_TELEFÓNICO",'BASE DE LIQUIDACION 2025'!$B$9,IF(Y26="TIPO I",'BASE DE LIQUIDACION 2025'!$C$3,IF(Y26="TIPO II",'BASE DE LIQUIDACION 2025'!$C$4,IF(Y26="TIPO III",'BASE DE LIQUIDACION 2025'!$C$5,'BASE DE LIQUIDACION 2025'!$C$6)))))</f>
        <v>222904.07200000001</v>
      </c>
      <c r="AD26" s="77">
        <f>IF(W26="SOPORTE_TELEFÓNICO",AC26,CIERRES!AB26*CIERRES!AC26)</f>
        <v>222904.07200000001</v>
      </c>
    </row>
    <row r="27" spans="1:30" s="64" customFormat="1" ht="13.15">
      <c r="A27" s="72" t="s">
        <v>95</v>
      </c>
      <c r="B27" s="72" t="str">
        <f>VLOOKUP(A27,'CENTRO DE COSTOS'!A:D,4,FALSE)</f>
        <v>DIEGO FERNANDO HENAO CARDONA</v>
      </c>
      <c r="C27" s="72" t="str">
        <f>VLOOKUP(A27,'CENTRO DE COSTOS'!A:C,2,FALSE)</f>
        <v>0004-0003</v>
      </c>
      <c r="D27" s="72">
        <v>76364</v>
      </c>
      <c r="E27" s="72" t="s">
        <v>268</v>
      </c>
      <c r="F27" s="72">
        <v>36900</v>
      </c>
      <c r="G27" s="72" t="s">
        <v>80</v>
      </c>
      <c r="H27" s="72" t="s">
        <v>97</v>
      </c>
      <c r="I27" s="72" t="s">
        <v>269</v>
      </c>
      <c r="J27" s="72" t="s">
        <v>270</v>
      </c>
      <c r="K27" s="72" t="s">
        <v>84</v>
      </c>
      <c r="L27" s="72" t="s">
        <v>271</v>
      </c>
      <c r="M27" s="73">
        <v>45875.723611111112</v>
      </c>
      <c r="N27" s="73">
        <v>45878.500694444447</v>
      </c>
      <c r="O27" s="63"/>
      <c r="P27" s="74" t="s">
        <v>86</v>
      </c>
      <c r="Q27" s="72" t="s">
        <v>112</v>
      </c>
      <c r="R27" s="75" t="s">
        <v>100</v>
      </c>
      <c r="S27" s="75" t="s">
        <v>100</v>
      </c>
      <c r="T27" s="72" t="s">
        <v>113</v>
      </c>
      <c r="U27" s="72" t="s">
        <v>114</v>
      </c>
      <c r="V27" s="74" t="s">
        <v>272</v>
      </c>
      <c r="W27" s="72" t="s">
        <v>102</v>
      </c>
      <c r="X27" s="72" t="s">
        <v>273</v>
      </c>
      <c r="Y27" s="72" t="s">
        <v>125</v>
      </c>
      <c r="Z27" s="72" t="str">
        <f>VLOOKUP(D27,TIPOLOGIAS!A:F,5,0)</f>
        <v>TERRESTRE</v>
      </c>
      <c r="AA27" s="72" t="s">
        <v>274</v>
      </c>
      <c r="AB27" s="76">
        <v>1</v>
      </c>
      <c r="AC27" s="77">
        <f>IF(AND(W27="SOPORTE_TELEFÓNICO",OR(U27="SIN CONTACTO CON EL CB",U27="NÚMEROS DE CONTACTO ERRADOS")),0,IF(W27="SOPORTE_TELEFÓNICO",'BASE DE LIQUIDACION 2025'!$B$9,IF(Y27="TIPO I",'BASE DE LIQUIDACION 2025'!$C$3,IF(Y27="TIPO II",'BASE DE LIQUIDACION 2025'!$C$4,IF(Y27="TIPO III",'BASE DE LIQUIDACION 2025'!$C$5,'BASE DE LIQUIDACION 2025'!$C$6)))))</f>
        <v>134410.88400000002</v>
      </c>
      <c r="AD27" s="77">
        <f>IF(W27="SOPORTE_TELEFÓNICO",AC27,CIERRES!AB27*CIERRES!AC27)</f>
        <v>134410.88400000002</v>
      </c>
    </row>
    <row r="28" spans="1:30" s="64" customFormat="1" ht="13.15">
      <c r="A28" s="72" t="s">
        <v>189</v>
      </c>
      <c r="B28" s="72" t="str">
        <f>VLOOKUP(A28,'CENTRO DE COSTOS'!A:D,4,FALSE)</f>
        <v>KEVIN ALEXIS CORZO BUSTOS</v>
      </c>
      <c r="C28" s="72" t="str">
        <f>VLOOKUP(A28,'CENTRO DE COSTOS'!A:C,2,FALSE)</f>
        <v>0004-0007</v>
      </c>
      <c r="D28" s="72">
        <v>41001</v>
      </c>
      <c r="E28" s="72" t="s">
        <v>275</v>
      </c>
      <c r="F28" s="72">
        <v>33473</v>
      </c>
      <c r="G28" s="72" t="s">
        <v>80</v>
      </c>
      <c r="H28" s="72" t="s">
        <v>191</v>
      </c>
      <c r="I28" s="72" t="s">
        <v>189</v>
      </c>
      <c r="J28" s="72" t="s">
        <v>276</v>
      </c>
      <c r="K28" s="72" t="s">
        <v>84</v>
      </c>
      <c r="L28" s="72" t="s">
        <v>277</v>
      </c>
      <c r="M28" s="73">
        <v>45878.7</v>
      </c>
      <c r="N28" s="73">
        <v>45878.500694444447</v>
      </c>
      <c r="O28" s="63"/>
      <c r="P28" s="74" t="s">
        <v>86</v>
      </c>
      <c r="Q28" s="72" t="s">
        <v>86</v>
      </c>
      <c r="R28" s="75" t="s">
        <v>100</v>
      </c>
      <c r="S28" s="75" t="s">
        <v>100</v>
      </c>
      <c r="T28" s="72" t="s">
        <v>113</v>
      </c>
      <c r="U28" s="72" t="s">
        <v>114</v>
      </c>
      <c r="V28" s="74" t="s">
        <v>278</v>
      </c>
      <c r="W28" s="72" t="s">
        <v>102</v>
      </c>
      <c r="X28" s="72" t="s">
        <v>279</v>
      </c>
      <c r="Y28" s="72" t="s">
        <v>104</v>
      </c>
      <c r="Z28" s="72" t="str">
        <f>VLOOKUP(D28,TIPOLOGIAS!A:F,5,0)</f>
        <v>TERRESTRE</v>
      </c>
      <c r="AA28" s="72" t="s">
        <v>280</v>
      </c>
      <c r="AB28" s="76">
        <v>1</v>
      </c>
      <c r="AC28" s="77">
        <f>IF(AND(W28="SOPORTE_TELEFÓNICO",OR(U28="SIN CONTACTO CON EL CB",U28="NÚMEROS DE CONTACTO ERRADOS")),0,IF(W28="SOPORTE_TELEFÓNICO",'BASE DE LIQUIDACION 2025'!$B$9,IF(Y28="TIPO I",'BASE DE LIQUIDACION 2025'!$C$3,IF(Y28="TIPO II",'BASE DE LIQUIDACION 2025'!$C$4,IF(Y28="TIPO III",'BASE DE LIQUIDACION 2025'!$C$5,'BASE DE LIQUIDACION 2025'!$C$6)))))</f>
        <v>44559.563999999998</v>
      </c>
      <c r="AD28" s="77">
        <f>IF(W28="SOPORTE_TELEFÓNICO",AC28,CIERRES!AB28*CIERRES!AC28)</f>
        <v>44559.563999999998</v>
      </c>
    </row>
    <row r="29" spans="1:30" s="64" customFormat="1" ht="13.15">
      <c r="A29" s="72" t="s">
        <v>189</v>
      </c>
      <c r="B29" s="72" t="str">
        <f>VLOOKUP(A29,'CENTRO DE COSTOS'!A:D,4,FALSE)</f>
        <v>KEVIN ALEXIS CORZO BUSTOS</v>
      </c>
      <c r="C29" s="72" t="str">
        <f>VLOOKUP(A29,'CENTRO DE COSTOS'!A:C,2,FALSE)</f>
        <v>0004-0007</v>
      </c>
      <c r="D29" s="72">
        <v>41001</v>
      </c>
      <c r="E29" s="72" t="s">
        <v>281</v>
      </c>
      <c r="F29" s="72">
        <v>33475</v>
      </c>
      <c r="G29" s="72" t="s">
        <v>80</v>
      </c>
      <c r="H29" s="72" t="s">
        <v>191</v>
      </c>
      <c r="I29" s="72" t="s">
        <v>189</v>
      </c>
      <c r="J29" s="72" t="s">
        <v>282</v>
      </c>
      <c r="K29" s="72" t="s">
        <v>84</v>
      </c>
      <c r="L29" s="72" t="s">
        <v>283</v>
      </c>
      <c r="M29" s="73">
        <v>45878.7</v>
      </c>
      <c r="N29" s="73">
        <v>45878.508333333331</v>
      </c>
      <c r="O29" s="63"/>
      <c r="P29" s="74" t="s">
        <v>86</v>
      </c>
      <c r="Q29" s="72" t="s">
        <v>86</v>
      </c>
      <c r="R29" s="75" t="s">
        <v>100</v>
      </c>
      <c r="S29" s="75" t="s">
        <v>100</v>
      </c>
      <c r="T29" s="72" t="s">
        <v>113</v>
      </c>
      <c r="U29" s="72" t="s">
        <v>114</v>
      </c>
      <c r="V29" s="74" t="s">
        <v>284</v>
      </c>
      <c r="W29" s="72" t="s">
        <v>102</v>
      </c>
      <c r="X29" s="72">
        <v>0</v>
      </c>
      <c r="Y29" s="72" t="s">
        <v>104</v>
      </c>
      <c r="Z29" s="72" t="str">
        <f>VLOOKUP(D29,TIPOLOGIAS!A:F,5,0)</f>
        <v>TERRESTRE</v>
      </c>
      <c r="AA29" s="72" t="s">
        <v>259</v>
      </c>
      <c r="AB29" s="76">
        <v>1</v>
      </c>
      <c r="AC29" s="77">
        <f>IF(AND(W29="SOPORTE_TELEFÓNICO",OR(U29="SIN CONTACTO CON EL CB",U29="NÚMEROS DE CONTACTO ERRADOS")),0,IF(W29="SOPORTE_TELEFÓNICO",'BASE DE LIQUIDACION 2025'!$B$9,IF(Y29="TIPO I",'BASE DE LIQUIDACION 2025'!$C$3,IF(Y29="TIPO II",'BASE DE LIQUIDACION 2025'!$C$4,IF(Y29="TIPO III",'BASE DE LIQUIDACION 2025'!$C$5,'BASE DE LIQUIDACION 2025'!$C$6)))))</f>
        <v>44559.563999999998</v>
      </c>
      <c r="AD29" s="77">
        <f>IF(W29="SOPORTE_TELEFÓNICO",AC29,CIERRES!AB29*CIERRES!AC29)</f>
        <v>44559.563999999998</v>
      </c>
    </row>
    <row r="30" spans="1:30" s="64" customFormat="1" ht="13.15">
      <c r="A30" s="72" t="s">
        <v>189</v>
      </c>
      <c r="B30" s="72" t="str">
        <f>VLOOKUP(A30,'CENTRO DE COSTOS'!A:D,4,FALSE)</f>
        <v>KEVIN ALEXIS CORZO BUSTOS</v>
      </c>
      <c r="C30" s="72" t="str">
        <f>VLOOKUP(A30,'CENTRO DE COSTOS'!A:C,2,FALSE)</f>
        <v>0004-0007</v>
      </c>
      <c r="D30" s="72">
        <v>41001</v>
      </c>
      <c r="E30" s="72" t="s">
        <v>285</v>
      </c>
      <c r="F30" s="72">
        <v>33474</v>
      </c>
      <c r="G30" s="72" t="s">
        <v>80</v>
      </c>
      <c r="H30" s="72" t="s">
        <v>191</v>
      </c>
      <c r="I30" s="72" t="s">
        <v>189</v>
      </c>
      <c r="J30" s="72" t="s">
        <v>286</v>
      </c>
      <c r="K30" s="72" t="s">
        <v>84</v>
      </c>
      <c r="L30" s="72" t="s">
        <v>287</v>
      </c>
      <c r="M30" s="73">
        <v>45878.7</v>
      </c>
      <c r="N30" s="73">
        <v>45878.510416666664</v>
      </c>
      <c r="O30" s="63"/>
      <c r="P30" s="74" t="s">
        <v>86</v>
      </c>
      <c r="Q30" s="72" t="s">
        <v>86</v>
      </c>
      <c r="R30" s="75" t="s">
        <v>100</v>
      </c>
      <c r="S30" s="75" t="s">
        <v>100</v>
      </c>
      <c r="T30" s="72" t="s">
        <v>113</v>
      </c>
      <c r="U30" s="72" t="s">
        <v>114</v>
      </c>
      <c r="V30" s="74" t="s">
        <v>284</v>
      </c>
      <c r="W30" s="72" t="s">
        <v>102</v>
      </c>
      <c r="X30" s="72">
        <v>0</v>
      </c>
      <c r="Y30" s="72" t="s">
        <v>104</v>
      </c>
      <c r="Z30" s="72" t="str">
        <f>VLOOKUP(D30,TIPOLOGIAS!A:F,5,0)</f>
        <v>TERRESTRE</v>
      </c>
      <c r="AA30" s="72" t="s">
        <v>259</v>
      </c>
      <c r="AB30" s="76">
        <v>1</v>
      </c>
      <c r="AC30" s="77">
        <f>IF(AND(W30="SOPORTE_TELEFÓNICO",OR(U30="SIN CONTACTO CON EL CB",U30="NÚMEROS DE CONTACTO ERRADOS")),0,IF(W30="SOPORTE_TELEFÓNICO",'BASE DE LIQUIDACION 2025'!$B$9,IF(Y30="TIPO I",'BASE DE LIQUIDACION 2025'!$C$3,IF(Y30="TIPO II",'BASE DE LIQUIDACION 2025'!$C$4,IF(Y30="TIPO III",'BASE DE LIQUIDACION 2025'!$C$5,'BASE DE LIQUIDACION 2025'!$C$6)))))</f>
        <v>44559.563999999998</v>
      </c>
      <c r="AD30" s="77">
        <f>IF(W30="SOPORTE_TELEFÓNICO",AC30,CIERRES!AB30*CIERRES!AC30)</f>
        <v>44559.563999999998</v>
      </c>
    </row>
    <row r="31" spans="1:30" s="64" customFormat="1" ht="13.15">
      <c r="A31" s="72" t="s">
        <v>189</v>
      </c>
      <c r="B31" s="72" t="str">
        <f>VLOOKUP(A31,'CENTRO DE COSTOS'!A:D,4,FALSE)</f>
        <v>KEVIN ALEXIS CORZO BUSTOS</v>
      </c>
      <c r="C31" s="72" t="str">
        <f>VLOOKUP(A31,'CENTRO DE COSTOS'!A:C,2,FALSE)</f>
        <v>0004-0007</v>
      </c>
      <c r="D31" s="72">
        <v>18592</v>
      </c>
      <c r="E31" s="72" t="s">
        <v>288</v>
      </c>
      <c r="F31" s="72">
        <v>77695</v>
      </c>
      <c r="G31" s="72" t="s">
        <v>80</v>
      </c>
      <c r="H31" s="72" t="s">
        <v>289</v>
      </c>
      <c r="I31" s="72" t="s">
        <v>290</v>
      </c>
      <c r="J31" s="72" t="s">
        <v>291</v>
      </c>
      <c r="K31" s="72" t="s">
        <v>84</v>
      </c>
      <c r="L31" s="72" t="s">
        <v>292</v>
      </c>
      <c r="M31" s="73">
        <v>45874.597222222219</v>
      </c>
      <c r="N31" s="73">
        <v>45880.534722222219</v>
      </c>
      <c r="O31" s="63"/>
      <c r="P31" s="74" t="s">
        <v>86</v>
      </c>
      <c r="Q31" s="72" t="s">
        <v>86</v>
      </c>
      <c r="R31" s="75" t="s">
        <v>100</v>
      </c>
      <c r="S31" s="75" t="s">
        <v>100</v>
      </c>
      <c r="T31" s="72" t="s">
        <v>113</v>
      </c>
      <c r="U31" s="72" t="s">
        <v>114</v>
      </c>
      <c r="V31" s="74" t="s">
        <v>293</v>
      </c>
      <c r="W31" s="72" t="s">
        <v>102</v>
      </c>
      <c r="X31" s="72" t="s">
        <v>294</v>
      </c>
      <c r="Y31" s="72" t="s">
        <v>93</v>
      </c>
      <c r="Z31" s="72" t="str">
        <f>VLOOKUP(D31,TIPOLOGIAS!A:F,5,0)</f>
        <v>TERRESTRE</v>
      </c>
      <c r="AA31" s="72" t="s">
        <v>295</v>
      </c>
      <c r="AB31" s="76">
        <v>1</v>
      </c>
      <c r="AC31" s="77">
        <f>IF(AND(W31="SOPORTE_TELEFÓNICO",OR(U31="SIN CONTACTO CON EL CB",U31="NÚMEROS DE CONTACTO ERRADOS")),0,IF(W31="SOPORTE_TELEFÓNICO",'BASE DE LIQUIDACION 2025'!$B$9,IF(Y31="TIPO I",'BASE DE LIQUIDACION 2025'!$C$3,IF(Y31="TIPO II",'BASE DE LIQUIDACION 2025'!$C$4,IF(Y31="TIPO III",'BASE DE LIQUIDACION 2025'!$C$5,'BASE DE LIQUIDACION 2025'!$C$6)))))</f>
        <v>464809.36800000002</v>
      </c>
      <c r="AD31" s="77">
        <f>IF(W31="SOPORTE_TELEFÓNICO",AC31,CIERRES!AB31*CIERRES!AC31)</f>
        <v>464809.36800000002</v>
      </c>
    </row>
    <row r="32" spans="1:30" s="64" customFormat="1" ht="13.15">
      <c r="A32" s="72" t="s">
        <v>189</v>
      </c>
      <c r="B32" s="72" t="str">
        <f>VLOOKUP(A32,'CENTRO DE COSTOS'!A:D,4,FALSE)</f>
        <v>KEVIN ALEXIS CORZO BUSTOS</v>
      </c>
      <c r="C32" s="72" t="str">
        <f>VLOOKUP(A32,'CENTRO DE COSTOS'!A:C,2,FALSE)</f>
        <v>0004-0007</v>
      </c>
      <c r="D32" s="72">
        <v>73483</v>
      </c>
      <c r="E32" s="72" t="s">
        <v>296</v>
      </c>
      <c r="F32" s="72">
        <v>75471</v>
      </c>
      <c r="G32" s="72" t="s">
        <v>80</v>
      </c>
      <c r="H32" s="72" t="s">
        <v>120</v>
      </c>
      <c r="I32" s="72" t="s">
        <v>297</v>
      </c>
      <c r="J32" s="72" t="s">
        <v>298</v>
      </c>
      <c r="K32" s="72" t="s">
        <v>84</v>
      </c>
      <c r="L32" s="72" t="s">
        <v>299</v>
      </c>
      <c r="M32" s="73">
        <v>45878.7</v>
      </c>
      <c r="N32" s="73">
        <v>45880.697916666664</v>
      </c>
      <c r="O32" s="63"/>
      <c r="P32" s="74" t="s">
        <v>86</v>
      </c>
      <c r="Q32" s="72" t="s">
        <v>86</v>
      </c>
      <c r="R32" s="75" t="s">
        <v>100</v>
      </c>
      <c r="S32" s="75" t="s">
        <v>100</v>
      </c>
      <c r="T32" s="72" t="s">
        <v>135</v>
      </c>
      <c r="U32" s="72" t="s">
        <v>136</v>
      </c>
      <c r="V32" s="74" t="s">
        <v>300</v>
      </c>
      <c r="W32" s="72" t="s">
        <v>102</v>
      </c>
      <c r="X32" s="72" t="s">
        <v>301</v>
      </c>
      <c r="Y32" s="72" t="s">
        <v>125</v>
      </c>
      <c r="Z32" s="72" t="str">
        <f>VLOOKUP(D32,TIPOLOGIAS!A:F,5,0)</f>
        <v>TERRESTRE</v>
      </c>
      <c r="AA32" s="72" t="s">
        <v>280</v>
      </c>
      <c r="AB32" s="76">
        <v>1</v>
      </c>
      <c r="AC32" s="77">
        <f>IF(AND(W32="SOPORTE_TELEFÓNICO",OR(U32="SIN CONTACTO CON EL CB",U32="NÚMEROS DE CONTACTO ERRADOS")),0,IF(W32="SOPORTE_TELEFÓNICO",'BASE DE LIQUIDACION 2025'!$B$9,IF(Y32="TIPO I",'BASE DE LIQUIDACION 2025'!$C$3,IF(Y32="TIPO II",'BASE DE LIQUIDACION 2025'!$C$4,IF(Y32="TIPO III",'BASE DE LIQUIDACION 2025'!$C$5,'BASE DE LIQUIDACION 2025'!$C$6)))))</f>
        <v>134410.88400000002</v>
      </c>
      <c r="AD32" s="77">
        <f>IF(W32="SOPORTE_TELEFÓNICO",AC32,CIERRES!AB32*CIERRES!AC32)</f>
        <v>134410.88400000002</v>
      </c>
    </row>
    <row r="33" spans="1:30" s="64" customFormat="1" ht="13.15">
      <c r="A33" s="72" t="s">
        <v>106</v>
      </c>
      <c r="B33" s="72" t="str">
        <f>VLOOKUP(A33,'CENTRO DE COSTOS'!A:D,4,FALSE)</f>
        <v>KEVIN ALEXIS CORZO BUSTOS</v>
      </c>
      <c r="C33" s="72" t="str">
        <f>VLOOKUP(A33,'CENTRO DE COSTOS'!A:C,2,FALSE)</f>
        <v>0004-0007</v>
      </c>
      <c r="D33" s="72">
        <v>50001</v>
      </c>
      <c r="E33" s="72" t="s">
        <v>302</v>
      </c>
      <c r="F33" s="72">
        <v>74538</v>
      </c>
      <c r="G33" s="72" t="s">
        <v>80</v>
      </c>
      <c r="H33" s="72" t="s">
        <v>108</v>
      </c>
      <c r="I33" s="72" t="s">
        <v>106</v>
      </c>
      <c r="J33" s="72" t="s">
        <v>303</v>
      </c>
      <c r="K33" s="72" t="s">
        <v>84</v>
      </c>
      <c r="L33" s="72" t="s">
        <v>304</v>
      </c>
      <c r="M33" s="73">
        <v>45878.7</v>
      </c>
      <c r="N33" s="73">
        <v>45881.365277777775</v>
      </c>
      <c r="O33" s="63"/>
      <c r="P33" s="74" t="s">
        <v>86</v>
      </c>
      <c r="Q33" s="72" t="s">
        <v>86</v>
      </c>
      <c r="R33" s="75" t="s">
        <v>100</v>
      </c>
      <c r="S33" s="75" t="s">
        <v>100</v>
      </c>
      <c r="T33" s="72" t="s">
        <v>113</v>
      </c>
      <c r="U33" s="72" t="s">
        <v>114</v>
      </c>
      <c r="V33" s="74" t="s">
        <v>305</v>
      </c>
      <c r="W33" s="72" t="s">
        <v>102</v>
      </c>
      <c r="X33" s="72">
        <v>0</v>
      </c>
      <c r="Y33" s="72" t="s">
        <v>104</v>
      </c>
      <c r="Z33" s="72" t="str">
        <f>VLOOKUP(D33,TIPOLOGIAS!A:F,5,0)</f>
        <v>TERRESTRE</v>
      </c>
      <c r="AA33" s="72" t="s">
        <v>203</v>
      </c>
      <c r="AB33" s="76">
        <v>1</v>
      </c>
      <c r="AC33" s="77">
        <f>IF(AND(W33="SOPORTE_TELEFÓNICO",OR(U33="SIN CONTACTO CON EL CB",U33="NÚMEROS DE CONTACTO ERRADOS")),0,IF(W33="SOPORTE_TELEFÓNICO",'BASE DE LIQUIDACION 2025'!$B$9,IF(Y33="TIPO I",'BASE DE LIQUIDACION 2025'!$C$3,IF(Y33="TIPO II",'BASE DE LIQUIDACION 2025'!$C$4,IF(Y33="TIPO III",'BASE DE LIQUIDACION 2025'!$C$5,'BASE DE LIQUIDACION 2025'!$C$6)))))</f>
        <v>44559.563999999998</v>
      </c>
      <c r="AD33" s="77">
        <f>IF(W33="SOPORTE_TELEFÓNICO",AC33,CIERRES!AB33*CIERRES!AC33)</f>
        <v>44559.563999999998</v>
      </c>
    </row>
    <row r="34" spans="1:30" s="64" customFormat="1" ht="13.15">
      <c r="A34" s="72" t="s">
        <v>95</v>
      </c>
      <c r="B34" s="72" t="str">
        <f>VLOOKUP(A34,'CENTRO DE COSTOS'!A:D,4,FALSE)</f>
        <v>DIEGO FERNANDO HENAO CARDONA</v>
      </c>
      <c r="C34" s="72" t="str">
        <f>VLOOKUP(A34,'CENTRO DE COSTOS'!A:C,2,FALSE)</f>
        <v>0004-0003</v>
      </c>
      <c r="D34" s="72">
        <v>76520</v>
      </c>
      <c r="E34" s="72" t="s">
        <v>306</v>
      </c>
      <c r="F34" s="72">
        <v>59729</v>
      </c>
      <c r="G34" s="72" t="s">
        <v>80</v>
      </c>
      <c r="H34" s="72" t="s">
        <v>97</v>
      </c>
      <c r="I34" s="72" t="s">
        <v>307</v>
      </c>
      <c r="J34" s="72" t="s">
        <v>308</v>
      </c>
      <c r="K34" s="72" t="s">
        <v>84</v>
      </c>
      <c r="L34" s="72" t="s">
        <v>309</v>
      </c>
      <c r="M34" s="73">
        <v>45878.7</v>
      </c>
      <c r="N34" s="73">
        <v>45881.369444444441</v>
      </c>
      <c r="O34" s="63"/>
      <c r="P34" s="74" t="s">
        <v>86</v>
      </c>
      <c r="Q34" s="72" t="s">
        <v>86</v>
      </c>
      <c r="R34" s="75" t="s">
        <v>100</v>
      </c>
      <c r="S34" s="75" t="s">
        <v>100</v>
      </c>
      <c r="T34" s="72" t="s">
        <v>89</v>
      </c>
      <c r="U34" s="72" t="s">
        <v>90</v>
      </c>
      <c r="V34" s="74" t="s">
        <v>310</v>
      </c>
      <c r="W34" s="72" t="s">
        <v>102</v>
      </c>
      <c r="X34" s="72">
        <v>0</v>
      </c>
      <c r="Y34" s="72" t="s">
        <v>104</v>
      </c>
      <c r="Z34" s="72" t="str">
        <f>VLOOKUP(D34,TIPOLOGIAS!A:F,5,0)</f>
        <v>TERRESTRE</v>
      </c>
      <c r="AA34" s="72" t="s">
        <v>311</v>
      </c>
      <c r="AB34" s="76">
        <v>1</v>
      </c>
      <c r="AC34" s="77">
        <f>IF(AND(W34="SOPORTE_TELEFÓNICO",OR(U34="SIN CONTACTO CON EL CB",U34="NÚMEROS DE CONTACTO ERRADOS")),0,IF(W34="SOPORTE_TELEFÓNICO",'BASE DE LIQUIDACION 2025'!$B$9,IF(Y34="TIPO I",'BASE DE LIQUIDACION 2025'!$C$3,IF(Y34="TIPO II",'BASE DE LIQUIDACION 2025'!$C$4,IF(Y34="TIPO III",'BASE DE LIQUIDACION 2025'!$C$5,'BASE DE LIQUIDACION 2025'!$C$6)))))</f>
        <v>44559.563999999998</v>
      </c>
      <c r="AD34" s="77">
        <f>IF(W34="SOPORTE_TELEFÓNICO",AC34,CIERRES!AB34*CIERRES!AC34)</f>
        <v>44559.563999999998</v>
      </c>
    </row>
    <row r="35" spans="1:30" s="64" customFormat="1" ht="13.15">
      <c r="A35" s="72" t="s">
        <v>95</v>
      </c>
      <c r="B35" s="72" t="str">
        <f>VLOOKUP(A35,'CENTRO DE COSTOS'!A:D,4,FALSE)</f>
        <v>DIEGO FERNANDO HENAO CARDONA</v>
      </c>
      <c r="C35" s="72" t="str">
        <f>VLOOKUP(A35,'CENTRO DE COSTOS'!A:C,2,FALSE)</f>
        <v>0004-0003</v>
      </c>
      <c r="D35" s="72">
        <v>76109</v>
      </c>
      <c r="E35" s="72" t="s">
        <v>312</v>
      </c>
      <c r="F35" s="72">
        <v>76884</v>
      </c>
      <c r="G35" s="72" t="s">
        <v>80</v>
      </c>
      <c r="H35" s="72" t="s">
        <v>97</v>
      </c>
      <c r="I35" s="72" t="s">
        <v>313</v>
      </c>
      <c r="J35" s="72" t="s">
        <v>314</v>
      </c>
      <c r="K35" s="72" t="s">
        <v>84</v>
      </c>
      <c r="L35" s="72" t="s">
        <v>315</v>
      </c>
      <c r="M35" s="73">
        <v>45875.723611111112</v>
      </c>
      <c r="N35" s="73">
        <v>45881.386805555558</v>
      </c>
      <c r="O35" s="63"/>
      <c r="P35" s="74" t="s">
        <v>86</v>
      </c>
      <c r="Q35" s="72" t="s">
        <v>112</v>
      </c>
      <c r="R35" s="75" t="s">
        <v>100</v>
      </c>
      <c r="S35" s="75" t="s">
        <v>100</v>
      </c>
      <c r="T35" s="72" t="s">
        <v>89</v>
      </c>
      <c r="U35" s="72" t="s">
        <v>90</v>
      </c>
      <c r="V35" s="74" t="s">
        <v>316</v>
      </c>
      <c r="W35" s="72" t="s">
        <v>92</v>
      </c>
      <c r="X35" s="72">
        <v>0</v>
      </c>
      <c r="Y35" s="72" t="s">
        <v>116</v>
      </c>
      <c r="Z35" s="72" t="str">
        <f>VLOOKUP(D35,TIPOLOGIAS!A:F,5,0)</f>
        <v>TERRESTRE</v>
      </c>
      <c r="AA35" s="72" t="s">
        <v>246</v>
      </c>
      <c r="AB35" s="76">
        <v>0</v>
      </c>
      <c r="AC35" s="77">
        <f>IF(AND(W35="SOPORTE_TELEFÓNICO",OR(U35="SIN CONTACTO CON EL CB",U35="NÚMEROS DE CONTACTO ERRADOS")),0,IF(W35="SOPORTE_TELEFÓNICO",'BASE DE LIQUIDACION 2025'!$B$9,IF(Y35="TIPO I",'BASE DE LIQUIDACION 2025'!$C$3,IF(Y35="TIPO II",'BASE DE LIQUIDACION 2025'!$C$4,IF(Y35="TIPO III",'BASE DE LIQUIDACION 2025'!$C$5,'BASE DE LIQUIDACION 2025'!$C$6)))))</f>
        <v>37904.612000000001</v>
      </c>
      <c r="AD35" s="77">
        <f>IF(W35="SOPORTE_TELEFÓNICO",AC35,CIERRES!AB35*CIERRES!AC35)</f>
        <v>37904.612000000001</v>
      </c>
    </row>
    <row r="36" spans="1:30" s="64" customFormat="1" ht="13.15">
      <c r="A36" s="72" t="s">
        <v>118</v>
      </c>
      <c r="B36" s="72" t="str">
        <f>VLOOKUP(A36,'CENTRO DE COSTOS'!A:D,4,FALSE)</f>
        <v>KEVIN ALEXIS CORZO BUSTOS</v>
      </c>
      <c r="C36" s="72" t="str">
        <f>VLOOKUP(A36,'CENTRO DE COSTOS'!A:C,2,FALSE)</f>
        <v>0004-0007</v>
      </c>
      <c r="D36" s="72">
        <v>73001</v>
      </c>
      <c r="E36" s="72" t="s">
        <v>317</v>
      </c>
      <c r="F36" s="72">
        <v>67287</v>
      </c>
      <c r="G36" s="72" t="s">
        <v>80</v>
      </c>
      <c r="H36" s="72" t="s">
        <v>120</v>
      </c>
      <c r="I36" s="72" t="s">
        <v>118</v>
      </c>
      <c r="J36" s="72" t="s">
        <v>318</v>
      </c>
      <c r="K36" s="72" t="s">
        <v>84</v>
      </c>
      <c r="L36" s="72" t="s">
        <v>319</v>
      </c>
      <c r="M36" s="73">
        <v>45878.7</v>
      </c>
      <c r="N36" s="73">
        <v>45881.40902777778</v>
      </c>
      <c r="O36" s="63"/>
      <c r="P36" s="74" t="s">
        <v>86</v>
      </c>
      <c r="Q36" s="72" t="s">
        <v>86</v>
      </c>
      <c r="R36" s="75" t="s">
        <v>100</v>
      </c>
      <c r="S36" s="75" t="s">
        <v>100</v>
      </c>
      <c r="T36" s="72" t="s">
        <v>89</v>
      </c>
      <c r="U36" s="72" t="s">
        <v>90</v>
      </c>
      <c r="V36" s="74" t="s">
        <v>320</v>
      </c>
      <c r="W36" s="72" t="s">
        <v>102</v>
      </c>
      <c r="X36" s="72">
        <v>0</v>
      </c>
      <c r="Y36" s="72" t="s">
        <v>104</v>
      </c>
      <c r="Z36" s="72" t="str">
        <f>VLOOKUP(D36,TIPOLOGIAS!A:F,5,0)</f>
        <v>TERRESTRE</v>
      </c>
      <c r="AA36" s="72" t="s">
        <v>321</v>
      </c>
      <c r="AB36" s="76">
        <v>1</v>
      </c>
      <c r="AC36" s="77">
        <f>IF(AND(W36="SOPORTE_TELEFÓNICO",OR(U36="SIN CONTACTO CON EL CB",U36="NÚMEROS DE CONTACTO ERRADOS")),0,IF(W36="SOPORTE_TELEFÓNICO",'BASE DE LIQUIDACION 2025'!$B$9,IF(Y36="TIPO I",'BASE DE LIQUIDACION 2025'!$C$3,IF(Y36="TIPO II",'BASE DE LIQUIDACION 2025'!$C$4,IF(Y36="TIPO III",'BASE DE LIQUIDACION 2025'!$C$5,'BASE DE LIQUIDACION 2025'!$C$6)))))</f>
        <v>44559.563999999998</v>
      </c>
      <c r="AD36" s="77">
        <f>IF(W36="SOPORTE_TELEFÓNICO",AC36,CIERRES!AB36*CIERRES!AC36)</f>
        <v>44559.563999999998</v>
      </c>
    </row>
    <row r="37" spans="1:30" s="64" customFormat="1" ht="13.15">
      <c r="A37" s="72" t="s">
        <v>239</v>
      </c>
      <c r="B37" s="72" t="str">
        <f>VLOOKUP(A37,'CENTRO DE COSTOS'!A:D,4,FALSE)</f>
        <v>DIEGO FERNANDO HENAO CARDONA</v>
      </c>
      <c r="C37" s="72" t="str">
        <f>VLOOKUP(A37,'CENTRO DE COSTOS'!A:C,2,FALSE)</f>
        <v>0004-0003</v>
      </c>
      <c r="D37" s="72">
        <v>52203</v>
      </c>
      <c r="E37" s="72" t="s">
        <v>322</v>
      </c>
      <c r="F37" s="72">
        <v>49060</v>
      </c>
      <c r="G37" s="72" t="s">
        <v>80</v>
      </c>
      <c r="H37" s="72" t="s">
        <v>241</v>
      </c>
      <c r="I37" s="72" t="s">
        <v>323</v>
      </c>
      <c r="J37" s="72" t="s">
        <v>324</v>
      </c>
      <c r="K37" s="72" t="s">
        <v>84</v>
      </c>
      <c r="L37" s="72" t="s">
        <v>325</v>
      </c>
      <c r="M37" s="73">
        <v>45875.723611111112</v>
      </c>
      <c r="N37" s="73">
        <v>45881.42291666667</v>
      </c>
      <c r="O37" s="63"/>
      <c r="P37" s="74" t="s">
        <v>86</v>
      </c>
      <c r="Q37" s="72" t="s">
        <v>86</v>
      </c>
      <c r="R37" s="75" t="s">
        <v>100</v>
      </c>
      <c r="S37" s="75" t="s">
        <v>100</v>
      </c>
      <c r="T37" s="72" t="s">
        <v>89</v>
      </c>
      <c r="U37" s="72" t="s">
        <v>90</v>
      </c>
      <c r="V37" s="74" t="s">
        <v>326</v>
      </c>
      <c r="W37" s="72" t="s">
        <v>92</v>
      </c>
      <c r="X37" s="72">
        <v>0</v>
      </c>
      <c r="Y37" s="72" t="s">
        <v>176</v>
      </c>
      <c r="Z37" s="72" t="str">
        <f>VLOOKUP(D37,TIPOLOGIAS!A:F,5,0)</f>
        <v>TERRESTRE</v>
      </c>
      <c r="AA37" s="72" t="s">
        <v>246</v>
      </c>
      <c r="AB37" s="76">
        <v>0</v>
      </c>
      <c r="AC37" s="77">
        <f>IF(AND(W37="SOPORTE_TELEFÓNICO",OR(U37="SIN CONTACTO CON EL CB",U37="NÚMEROS DE CONTACTO ERRADOS")),0,IF(W37="SOPORTE_TELEFÓNICO",'BASE DE LIQUIDACION 2025'!$B$9,IF(Y37="TIPO I",'BASE DE LIQUIDACION 2025'!$C$3,IF(Y37="TIPO II",'BASE DE LIQUIDACION 2025'!$C$4,IF(Y37="TIPO III",'BASE DE LIQUIDACION 2025'!$C$5,'BASE DE LIQUIDACION 2025'!$C$6)))))</f>
        <v>37904.612000000001</v>
      </c>
      <c r="AD37" s="77">
        <f>IF(W37="SOPORTE_TELEFÓNICO",AC37,CIERRES!AB37*CIERRES!AC37)</f>
        <v>37904.612000000001</v>
      </c>
    </row>
    <row r="38" spans="1:30" s="64" customFormat="1" ht="13.15">
      <c r="A38" s="72" t="s">
        <v>239</v>
      </c>
      <c r="B38" s="72" t="str">
        <f>VLOOKUP(A38,'CENTRO DE COSTOS'!A:D,4,FALSE)</f>
        <v>DIEGO FERNANDO HENAO CARDONA</v>
      </c>
      <c r="C38" s="72" t="str">
        <f>VLOOKUP(A38,'CENTRO DE COSTOS'!A:C,2,FALSE)</f>
        <v>0004-0003</v>
      </c>
      <c r="D38" s="72">
        <v>52323</v>
      </c>
      <c r="E38" s="72" t="s">
        <v>327</v>
      </c>
      <c r="F38" s="72">
        <v>45928</v>
      </c>
      <c r="G38" s="72" t="s">
        <v>80</v>
      </c>
      <c r="H38" s="72" t="s">
        <v>241</v>
      </c>
      <c r="I38" s="72" t="s">
        <v>328</v>
      </c>
      <c r="J38" s="72" t="s">
        <v>329</v>
      </c>
      <c r="K38" s="72" t="s">
        <v>84</v>
      </c>
      <c r="L38" s="72" t="s">
        <v>330</v>
      </c>
      <c r="M38" s="73">
        <v>45875.720833333333</v>
      </c>
      <c r="N38" s="73">
        <v>45881.428472222222</v>
      </c>
      <c r="O38" s="63"/>
      <c r="P38" s="74" t="s">
        <v>86</v>
      </c>
      <c r="Q38" s="72" t="s">
        <v>86</v>
      </c>
      <c r="R38" s="75" t="s">
        <v>87</v>
      </c>
      <c r="S38" s="75" t="s">
        <v>186</v>
      </c>
      <c r="T38" s="72" t="s">
        <v>89</v>
      </c>
      <c r="U38" s="72" t="s">
        <v>90</v>
      </c>
      <c r="V38" s="74" t="s">
        <v>331</v>
      </c>
      <c r="W38" s="72" t="s">
        <v>92</v>
      </c>
      <c r="X38" s="72">
        <v>0</v>
      </c>
      <c r="Y38" s="72" t="s">
        <v>125</v>
      </c>
      <c r="Z38" s="72" t="str">
        <f>VLOOKUP(D38,TIPOLOGIAS!A:F,5,0)</f>
        <v>TERRESTRE</v>
      </c>
      <c r="AA38" s="72" t="s">
        <v>246</v>
      </c>
      <c r="AB38" s="76">
        <v>0</v>
      </c>
      <c r="AC38" s="77">
        <f>IF(AND(W38="SOPORTE_TELEFÓNICO",OR(U38="SIN CONTACTO CON EL CB",U38="NÚMEROS DE CONTACTO ERRADOS")),0,IF(W38="SOPORTE_TELEFÓNICO",'BASE DE LIQUIDACION 2025'!$B$9,IF(Y38="TIPO I",'BASE DE LIQUIDACION 2025'!$C$3,IF(Y38="TIPO II",'BASE DE LIQUIDACION 2025'!$C$4,IF(Y38="TIPO III",'BASE DE LIQUIDACION 2025'!$C$5,'BASE DE LIQUIDACION 2025'!$C$6)))))</f>
        <v>37904.612000000001</v>
      </c>
      <c r="AD38" s="77">
        <f>IF(W38="SOPORTE_TELEFÓNICO",AC38,CIERRES!AB38*CIERRES!AC38)</f>
        <v>37904.612000000001</v>
      </c>
    </row>
    <row r="39" spans="1:30" s="64" customFormat="1" ht="13.15">
      <c r="A39" s="72" t="s">
        <v>95</v>
      </c>
      <c r="B39" s="72" t="str">
        <f>VLOOKUP(A39,'CENTRO DE COSTOS'!A:D,4,FALSE)</f>
        <v>DIEGO FERNANDO HENAO CARDONA</v>
      </c>
      <c r="C39" s="72" t="str">
        <f>VLOOKUP(A39,'CENTRO DE COSTOS'!A:C,2,FALSE)</f>
        <v>0004-0003</v>
      </c>
      <c r="D39" s="72">
        <v>76834</v>
      </c>
      <c r="E39" s="72" t="s">
        <v>332</v>
      </c>
      <c r="F39" s="72">
        <v>76243</v>
      </c>
      <c r="G39" s="72" t="s">
        <v>80</v>
      </c>
      <c r="H39" s="72" t="s">
        <v>97</v>
      </c>
      <c r="I39" s="72" t="s">
        <v>333</v>
      </c>
      <c r="J39" s="72" t="s">
        <v>334</v>
      </c>
      <c r="K39" s="72" t="s">
        <v>84</v>
      </c>
      <c r="L39" s="72" t="s">
        <v>335</v>
      </c>
      <c r="M39" s="73">
        <v>45878.7</v>
      </c>
      <c r="N39" s="73">
        <v>45881.469444444447</v>
      </c>
      <c r="O39" s="63"/>
      <c r="P39" s="74" t="s">
        <v>86</v>
      </c>
      <c r="Q39" s="72" t="s">
        <v>86</v>
      </c>
      <c r="R39" s="75" t="s">
        <v>100</v>
      </c>
      <c r="S39" s="75" t="s">
        <v>100</v>
      </c>
      <c r="T39" s="72" t="s">
        <v>113</v>
      </c>
      <c r="U39" s="72" t="s">
        <v>114</v>
      </c>
      <c r="V39" s="74" t="s">
        <v>336</v>
      </c>
      <c r="W39" s="72" t="s">
        <v>102</v>
      </c>
      <c r="X39" s="72" t="s">
        <v>337</v>
      </c>
      <c r="Y39" s="72" t="s">
        <v>125</v>
      </c>
      <c r="Z39" s="72" t="str">
        <f>VLOOKUP(D39,TIPOLOGIAS!A:F,5,0)</f>
        <v>TERRESTRE</v>
      </c>
      <c r="AA39" s="72" t="s">
        <v>274</v>
      </c>
      <c r="AB39" s="76">
        <v>1</v>
      </c>
      <c r="AC39" s="77">
        <f>IF(AND(W39="SOPORTE_TELEFÓNICO",OR(U39="SIN CONTACTO CON EL CB",U39="NÚMEROS DE CONTACTO ERRADOS")),0,IF(W39="SOPORTE_TELEFÓNICO",'BASE DE LIQUIDACION 2025'!$B$9,IF(Y39="TIPO I",'BASE DE LIQUIDACION 2025'!$C$3,IF(Y39="TIPO II",'BASE DE LIQUIDACION 2025'!$C$4,IF(Y39="TIPO III",'BASE DE LIQUIDACION 2025'!$C$5,'BASE DE LIQUIDACION 2025'!$C$6)))))</f>
        <v>134410.88400000002</v>
      </c>
      <c r="AD39" s="77">
        <f>IF(W39="SOPORTE_TELEFÓNICO",AC39,CIERRES!AB39*CIERRES!AC39)</f>
        <v>134410.88400000002</v>
      </c>
    </row>
    <row r="40" spans="1:30" s="64" customFormat="1" ht="13.15">
      <c r="A40" s="72" t="s">
        <v>338</v>
      </c>
      <c r="B40" s="72" t="str">
        <f>VLOOKUP(A40,'CENTRO DE COSTOS'!A:D,4,FALSE)</f>
        <v>JOSE MAURICIO HERNANDEZ ROJAS</v>
      </c>
      <c r="C40" s="72" t="str">
        <f>VLOOKUP(A40,'CENTRO DE COSTOS'!A:C,2,FALSE)</f>
        <v>0004-0001</v>
      </c>
      <c r="D40" s="72">
        <v>23001</v>
      </c>
      <c r="E40" s="72" t="s">
        <v>339</v>
      </c>
      <c r="F40" s="72">
        <v>78090</v>
      </c>
      <c r="G40" s="72" t="s">
        <v>80</v>
      </c>
      <c r="H40" s="72" t="s">
        <v>340</v>
      </c>
      <c r="I40" s="72" t="s">
        <v>338</v>
      </c>
      <c r="J40" s="72" t="s">
        <v>341</v>
      </c>
      <c r="K40" s="72" t="s">
        <v>84</v>
      </c>
      <c r="L40" s="72" t="s">
        <v>342</v>
      </c>
      <c r="M40" s="73">
        <v>45878.7</v>
      </c>
      <c r="N40" s="73">
        <v>45881.50277777778</v>
      </c>
      <c r="O40" s="63"/>
      <c r="P40" s="74" t="s">
        <v>86</v>
      </c>
      <c r="Q40" s="72" t="s">
        <v>86</v>
      </c>
      <c r="R40" s="75" t="s">
        <v>100</v>
      </c>
      <c r="S40" s="75" t="s">
        <v>100</v>
      </c>
      <c r="T40" s="72" t="s">
        <v>89</v>
      </c>
      <c r="U40" s="72" t="s">
        <v>90</v>
      </c>
      <c r="V40" s="74" t="s">
        <v>343</v>
      </c>
      <c r="W40" s="72" t="s">
        <v>102</v>
      </c>
      <c r="X40" s="72">
        <v>0</v>
      </c>
      <c r="Y40" s="72" t="s">
        <v>104</v>
      </c>
      <c r="Z40" s="72" t="str">
        <f>VLOOKUP(D40,TIPOLOGIAS!A:F,5,0)</f>
        <v>TERRESTRE</v>
      </c>
      <c r="AA40" s="72" t="s">
        <v>344</v>
      </c>
      <c r="AB40" s="76">
        <v>1</v>
      </c>
      <c r="AC40" s="77">
        <f>IF(AND(W40="SOPORTE_TELEFÓNICO",OR(U40="SIN CONTACTO CON EL CB",U40="NÚMEROS DE CONTACTO ERRADOS")),0,IF(W40="SOPORTE_TELEFÓNICO",'BASE DE LIQUIDACION 2025'!$B$9,IF(Y40="TIPO I",'BASE DE LIQUIDACION 2025'!$C$3,IF(Y40="TIPO II",'BASE DE LIQUIDACION 2025'!$C$4,IF(Y40="TIPO III",'BASE DE LIQUIDACION 2025'!$C$5,'BASE DE LIQUIDACION 2025'!$C$6)))))</f>
        <v>44559.563999999998</v>
      </c>
      <c r="AD40" s="77">
        <f>IF(W40="SOPORTE_TELEFÓNICO",AC40,CIERRES!AB40*CIERRES!AC40)</f>
        <v>44559.563999999998</v>
      </c>
    </row>
    <row r="41" spans="1:30" s="64" customFormat="1" ht="13.15">
      <c r="A41" s="72" t="s">
        <v>138</v>
      </c>
      <c r="B41" s="72" t="str">
        <f>VLOOKUP(A41,'CENTRO DE COSTOS'!A:D,4,FALSE)</f>
        <v>WILLIAM ASDRUBAL ROZO ROZO</v>
      </c>
      <c r="C41" s="72" t="str">
        <f>VLOOKUP(A41,'CENTRO DE COSTOS'!A:C,2,FALSE)</f>
        <v>0004-0004</v>
      </c>
      <c r="D41" s="72">
        <v>11001</v>
      </c>
      <c r="E41" s="72" t="s">
        <v>345</v>
      </c>
      <c r="F41" s="72">
        <v>78672</v>
      </c>
      <c r="G41" s="72" t="s">
        <v>80</v>
      </c>
      <c r="H41" s="72" t="s">
        <v>140</v>
      </c>
      <c r="I41" s="72" t="s">
        <v>138</v>
      </c>
      <c r="J41" s="72" t="s">
        <v>346</v>
      </c>
      <c r="K41" s="72" t="s">
        <v>84</v>
      </c>
      <c r="L41" s="72" t="s">
        <v>347</v>
      </c>
      <c r="M41" s="73">
        <v>45881.468055555553</v>
      </c>
      <c r="N41" s="73">
        <v>45881.573611111111</v>
      </c>
      <c r="O41" s="63"/>
      <c r="P41" s="74" t="s">
        <v>86</v>
      </c>
      <c r="Q41" s="72" t="s">
        <v>348</v>
      </c>
      <c r="R41" s="75" t="s">
        <v>87</v>
      </c>
      <c r="S41" s="75" t="s">
        <v>186</v>
      </c>
      <c r="T41" s="72" t="s">
        <v>89</v>
      </c>
      <c r="U41" s="72" t="s">
        <v>90</v>
      </c>
      <c r="V41" s="74" t="s">
        <v>349</v>
      </c>
      <c r="W41" s="72" t="s">
        <v>102</v>
      </c>
      <c r="X41" s="72" t="s">
        <v>350</v>
      </c>
      <c r="Y41" s="72" t="s">
        <v>104</v>
      </c>
      <c r="Z41" s="72" t="str">
        <f>VLOOKUP(D41,TIPOLOGIAS!A:F,5,0)</f>
        <v>TERRESTRE</v>
      </c>
      <c r="AA41" s="72" t="s">
        <v>351</v>
      </c>
      <c r="AB41" s="76">
        <v>1</v>
      </c>
      <c r="AC41" s="77">
        <f>IF(AND(W41="SOPORTE_TELEFÓNICO",OR(U41="SIN CONTACTO CON EL CB",U41="NÚMEROS DE CONTACTO ERRADOS")),0,IF(W41="SOPORTE_TELEFÓNICO",'BASE DE LIQUIDACION 2025'!$B$9,IF(Y41="TIPO I",'BASE DE LIQUIDACION 2025'!$C$3,IF(Y41="TIPO II",'BASE DE LIQUIDACION 2025'!$C$4,IF(Y41="TIPO III",'BASE DE LIQUIDACION 2025'!$C$5,'BASE DE LIQUIDACION 2025'!$C$6)))))</f>
        <v>44559.563999999998</v>
      </c>
      <c r="AD41" s="77">
        <f>IF(W41="SOPORTE_TELEFÓNICO",AC41,CIERRES!AB41*CIERRES!AC41)</f>
        <v>44559.563999999998</v>
      </c>
    </row>
    <row r="42" spans="1:30" s="64" customFormat="1" ht="13.15">
      <c r="A42" s="72" t="s">
        <v>152</v>
      </c>
      <c r="B42" s="72" t="str">
        <f>VLOOKUP(A42,'CENTRO DE COSTOS'!A:D,4,FALSE)</f>
        <v>MIGUEL JULIÁN HERNÁNDEZ GUARÍN</v>
      </c>
      <c r="C42" s="72" t="str">
        <f>VLOOKUP(A42,'CENTRO DE COSTOS'!A:C,2,FALSE)</f>
        <v>0004-0008</v>
      </c>
      <c r="D42" s="72">
        <v>15272</v>
      </c>
      <c r="E42" s="72" t="s">
        <v>352</v>
      </c>
      <c r="F42" s="72">
        <v>12066</v>
      </c>
      <c r="G42" s="72" t="s">
        <v>80</v>
      </c>
      <c r="H42" s="72" t="s">
        <v>154</v>
      </c>
      <c r="I42" s="72" t="s">
        <v>353</v>
      </c>
      <c r="J42" s="72" t="s">
        <v>354</v>
      </c>
      <c r="K42" s="72" t="s">
        <v>84</v>
      </c>
      <c r="L42" s="72" t="s">
        <v>355</v>
      </c>
      <c r="M42" s="73">
        <v>45874.486805555556</v>
      </c>
      <c r="N42" s="73">
        <v>45882.333333333336</v>
      </c>
      <c r="O42" s="63"/>
      <c r="P42" s="74" t="s">
        <v>86</v>
      </c>
      <c r="Q42" s="72" t="s">
        <v>112</v>
      </c>
      <c r="R42" s="75" t="s">
        <v>100</v>
      </c>
      <c r="S42" s="75" t="s">
        <v>100</v>
      </c>
      <c r="T42" s="72" t="s">
        <v>89</v>
      </c>
      <c r="U42" s="72" t="s">
        <v>231</v>
      </c>
      <c r="V42" s="74" t="s">
        <v>356</v>
      </c>
      <c r="W42" s="72" t="s">
        <v>102</v>
      </c>
      <c r="X42" s="72">
        <v>0</v>
      </c>
      <c r="Y42" s="72" t="s">
        <v>125</v>
      </c>
      <c r="Z42" s="72" t="str">
        <f>VLOOKUP(D42,TIPOLOGIAS!A:F,5,0)</f>
        <v>TERRESTRE</v>
      </c>
      <c r="AA42" s="72" t="s">
        <v>357</v>
      </c>
      <c r="AB42" s="76">
        <v>1</v>
      </c>
      <c r="AC42" s="77">
        <f>IF(AND(W42="SOPORTE_TELEFÓNICO",OR(U42="SIN CONTACTO CON EL CB",U42="NÚMEROS DE CONTACTO ERRADOS")),0,IF(W42="SOPORTE_TELEFÓNICO",'BASE DE LIQUIDACION 2025'!$B$9,IF(Y42="TIPO I",'BASE DE LIQUIDACION 2025'!$C$3,IF(Y42="TIPO II",'BASE DE LIQUIDACION 2025'!$C$4,IF(Y42="TIPO III",'BASE DE LIQUIDACION 2025'!$C$5,'BASE DE LIQUIDACION 2025'!$C$6)))))</f>
        <v>134410.88400000002</v>
      </c>
      <c r="AD42" s="77">
        <f>IF(W42="SOPORTE_TELEFÓNICO",AC42,CIERRES!AB42*CIERRES!AC42)</f>
        <v>134410.88400000002</v>
      </c>
    </row>
    <row r="43" spans="1:30" s="64" customFormat="1" ht="13.15">
      <c r="A43" s="72" t="s">
        <v>189</v>
      </c>
      <c r="B43" s="72" t="str">
        <f>VLOOKUP(A43,'CENTRO DE COSTOS'!A:D,4,FALSE)</f>
        <v>KEVIN ALEXIS CORZO BUSTOS</v>
      </c>
      <c r="C43" s="72" t="str">
        <f>VLOOKUP(A43,'CENTRO DE COSTOS'!A:C,2,FALSE)</f>
        <v>0004-0007</v>
      </c>
      <c r="D43" s="72">
        <v>41551</v>
      </c>
      <c r="E43" s="72" t="s">
        <v>358</v>
      </c>
      <c r="F43" s="72">
        <v>33477</v>
      </c>
      <c r="G43" s="72" t="s">
        <v>80</v>
      </c>
      <c r="H43" s="72" t="s">
        <v>191</v>
      </c>
      <c r="I43" s="72" t="s">
        <v>359</v>
      </c>
      <c r="J43" s="72" t="s">
        <v>360</v>
      </c>
      <c r="K43" s="72" t="s">
        <v>84</v>
      </c>
      <c r="L43" s="72" t="s">
        <v>361</v>
      </c>
      <c r="M43" s="73">
        <v>45878.7</v>
      </c>
      <c r="N43" s="73">
        <v>45882.506944444445</v>
      </c>
      <c r="O43" s="63"/>
      <c r="P43" s="74" t="s">
        <v>86</v>
      </c>
      <c r="Q43" s="72" t="s">
        <v>86</v>
      </c>
      <c r="R43" s="75" t="s">
        <v>100</v>
      </c>
      <c r="S43" s="75" t="s">
        <v>100</v>
      </c>
      <c r="T43" s="72" t="s">
        <v>89</v>
      </c>
      <c r="U43" s="72" t="s">
        <v>90</v>
      </c>
      <c r="V43" s="74" t="s">
        <v>362</v>
      </c>
      <c r="W43" s="72" t="s">
        <v>102</v>
      </c>
      <c r="X43" s="72" t="s">
        <v>363</v>
      </c>
      <c r="Y43" s="72" t="s">
        <v>116</v>
      </c>
      <c r="Z43" s="72" t="str">
        <f>VLOOKUP(D43,TIPOLOGIAS!A:F,5,0)</f>
        <v>TERRESTRE</v>
      </c>
      <c r="AA43" s="72" t="s">
        <v>259</v>
      </c>
      <c r="AB43" s="76">
        <v>1</v>
      </c>
      <c r="AC43" s="77">
        <f>IF(AND(W43="SOPORTE_TELEFÓNICO",OR(U43="SIN CONTACTO CON EL CB",U43="NÚMEROS DE CONTACTO ERRADOS")),0,IF(W43="SOPORTE_TELEFÓNICO",'BASE DE LIQUIDACION 2025'!$B$9,IF(Y43="TIPO I",'BASE DE LIQUIDACION 2025'!$C$3,IF(Y43="TIPO II",'BASE DE LIQUIDACION 2025'!$C$4,IF(Y43="TIPO III",'BASE DE LIQUIDACION 2025'!$C$5,'BASE DE LIQUIDACION 2025'!$C$6)))))</f>
        <v>222904.07200000001</v>
      </c>
      <c r="AD43" s="77">
        <f>IF(W43="SOPORTE_TELEFÓNICO",AC43,CIERRES!AB43*CIERRES!AC43)</f>
        <v>222904.07200000001</v>
      </c>
    </row>
    <row r="44" spans="1:30" s="64" customFormat="1" ht="13.15">
      <c r="A44" s="72" t="s">
        <v>106</v>
      </c>
      <c r="B44" s="72" t="str">
        <f>VLOOKUP(A44,'CENTRO DE COSTOS'!A:D,4,FALSE)</f>
        <v>KEVIN ALEXIS CORZO BUSTOS</v>
      </c>
      <c r="C44" s="72" t="str">
        <f>VLOOKUP(A44,'CENTRO DE COSTOS'!A:C,2,FALSE)</f>
        <v>0004-0007</v>
      </c>
      <c r="D44" s="72">
        <v>50001</v>
      </c>
      <c r="E44" s="72" t="s">
        <v>364</v>
      </c>
      <c r="F44" s="72">
        <v>76622</v>
      </c>
      <c r="G44" s="72" t="s">
        <v>80</v>
      </c>
      <c r="H44" s="72" t="s">
        <v>108</v>
      </c>
      <c r="I44" s="72" t="s">
        <v>106</v>
      </c>
      <c r="J44" s="72" t="s">
        <v>365</v>
      </c>
      <c r="K44" s="72" t="s">
        <v>84</v>
      </c>
      <c r="L44" s="72" t="s">
        <v>366</v>
      </c>
      <c r="M44" s="73">
        <v>45875.723611111112</v>
      </c>
      <c r="N44" s="73">
        <v>45882.581250000003</v>
      </c>
      <c r="O44" s="63"/>
      <c r="P44" s="74" t="s">
        <v>86</v>
      </c>
      <c r="Q44" s="72" t="s">
        <v>86</v>
      </c>
      <c r="R44" s="75" t="s">
        <v>100</v>
      </c>
      <c r="S44" s="75" t="s">
        <v>100</v>
      </c>
      <c r="T44" s="72" t="s">
        <v>113</v>
      </c>
      <c r="U44" s="72" t="s">
        <v>114</v>
      </c>
      <c r="V44" s="74" t="s">
        <v>367</v>
      </c>
      <c r="W44" s="72" t="s">
        <v>102</v>
      </c>
      <c r="X44" s="72">
        <v>0</v>
      </c>
      <c r="Y44" s="72" t="s">
        <v>104</v>
      </c>
      <c r="Z44" s="72" t="str">
        <f>VLOOKUP(D44,TIPOLOGIAS!A:F,5,0)</f>
        <v>TERRESTRE</v>
      </c>
      <c r="AA44" s="72" t="s">
        <v>368</v>
      </c>
      <c r="AB44" s="76">
        <v>1</v>
      </c>
      <c r="AC44" s="77">
        <f>IF(AND(W44="SOPORTE_TELEFÓNICO",OR(U44="SIN CONTACTO CON EL CB",U44="NÚMEROS DE CONTACTO ERRADOS")),0,IF(W44="SOPORTE_TELEFÓNICO",'BASE DE LIQUIDACION 2025'!$B$9,IF(Y44="TIPO I",'BASE DE LIQUIDACION 2025'!$C$3,IF(Y44="TIPO II",'BASE DE LIQUIDACION 2025'!$C$4,IF(Y44="TIPO III",'BASE DE LIQUIDACION 2025'!$C$5,'BASE DE LIQUIDACION 2025'!$C$6)))))</f>
        <v>44559.563999999998</v>
      </c>
      <c r="AD44" s="77">
        <f>IF(W44="SOPORTE_TELEFÓNICO",AC44,CIERRES!AB44*CIERRES!AC44)</f>
        <v>44559.563999999998</v>
      </c>
    </row>
    <row r="45" spans="1:30" s="64" customFormat="1" ht="13.15">
      <c r="A45" s="72" t="s">
        <v>127</v>
      </c>
      <c r="B45" s="72" t="str">
        <f>VLOOKUP(A45,'CENTRO DE COSTOS'!A:D,4,FALSE)</f>
        <v>JUAN SEBASTIÁN RÍOS CASTRILLÓN</v>
      </c>
      <c r="C45" s="72" t="str">
        <f>VLOOKUP(A45,'CENTRO DE COSTOS'!A:C,2,FALSE)</f>
        <v>0004-0005</v>
      </c>
      <c r="D45" s="72">
        <v>5440</v>
      </c>
      <c r="E45" s="72" t="s">
        <v>369</v>
      </c>
      <c r="F45" s="72">
        <v>78230</v>
      </c>
      <c r="G45" s="72" t="s">
        <v>80</v>
      </c>
      <c r="H45" s="72" t="s">
        <v>129</v>
      </c>
      <c r="I45" s="72" t="s">
        <v>370</v>
      </c>
      <c r="J45" s="72" t="s">
        <v>371</v>
      </c>
      <c r="K45" s="72" t="s">
        <v>84</v>
      </c>
      <c r="L45" s="72" t="s">
        <v>372</v>
      </c>
      <c r="M45" s="73">
        <v>45878.699305555558</v>
      </c>
      <c r="N45" s="73">
        <v>45883.440972222219</v>
      </c>
      <c r="O45" s="63"/>
      <c r="P45" s="74" t="s">
        <v>86</v>
      </c>
      <c r="Q45" s="72" t="s">
        <v>86</v>
      </c>
      <c r="R45" s="75" t="s">
        <v>87</v>
      </c>
      <c r="S45" s="75" t="s">
        <v>88</v>
      </c>
      <c r="T45" s="72" t="s">
        <v>89</v>
      </c>
      <c r="U45" s="72" t="s">
        <v>90</v>
      </c>
      <c r="V45" s="74" t="s">
        <v>373</v>
      </c>
      <c r="W45" s="72" t="s">
        <v>102</v>
      </c>
      <c r="X45" s="72">
        <v>0</v>
      </c>
      <c r="Y45" s="72" t="s">
        <v>125</v>
      </c>
      <c r="Z45" s="72" t="str">
        <f>VLOOKUP(D45,TIPOLOGIAS!A:F,5,0)</f>
        <v>TERRESTRE</v>
      </c>
      <c r="AA45" s="72" t="s">
        <v>374</v>
      </c>
      <c r="AB45" s="76">
        <v>1</v>
      </c>
      <c r="AC45" s="77">
        <f>IF(AND(W45="SOPORTE_TELEFÓNICO",OR(U45="SIN CONTACTO CON EL CB",U45="NÚMEROS DE CONTACTO ERRADOS")),0,IF(W45="SOPORTE_TELEFÓNICO",'BASE DE LIQUIDACION 2025'!$B$9,IF(Y45="TIPO I",'BASE DE LIQUIDACION 2025'!$C$3,IF(Y45="TIPO II",'BASE DE LIQUIDACION 2025'!$C$4,IF(Y45="TIPO III",'BASE DE LIQUIDACION 2025'!$C$5,'BASE DE LIQUIDACION 2025'!$C$6)))))</f>
        <v>134410.88400000002</v>
      </c>
      <c r="AD45" s="77">
        <f>IF(W45="SOPORTE_TELEFÓNICO",AC45,CIERRES!AB45*CIERRES!AC45)</f>
        <v>134410.88400000002</v>
      </c>
    </row>
    <row r="46" spans="1:30" s="64" customFormat="1" ht="13.15">
      <c r="A46" s="72" t="s">
        <v>118</v>
      </c>
      <c r="B46" s="72" t="str">
        <f>VLOOKUP(A46,'CENTRO DE COSTOS'!A:D,4,FALSE)</f>
        <v>KEVIN ALEXIS CORZO BUSTOS</v>
      </c>
      <c r="C46" s="72" t="str">
        <f>VLOOKUP(A46,'CENTRO DE COSTOS'!A:C,2,FALSE)</f>
        <v>0004-0007</v>
      </c>
      <c r="D46" s="72">
        <v>73001</v>
      </c>
      <c r="E46" s="72" t="s">
        <v>375</v>
      </c>
      <c r="F46" s="72">
        <v>60446</v>
      </c>
      <c r="G46" s="72" t="s">
        <v>80</v>
      </c>
      <c r="H46" s="72" t="s">
        <v>120</v>
      </c>
      <c r="I46" s="72" t="s">
        <v>118</v>
      </c>
      <c r="J46" s="72" t="s">
        <v>376</v>
      </c>
      <c r="K46" s="72" t="s">
        <v>84</v>
      </c>
      <c r="L46" s="72" t="s">
        <v>377</v>
      </c>
      <c r="M46" s="73">
        <v>45875.720833333333</v>
      </c>
      <c r="N46" s="73">
        <v>45883.574999999997</v>
      </c>
      <c r="O46" s="63"/>
      <c r="P46" s="74" t="s">
        <v>86</v>
      </c>
      <c r="Q46" s="72" t="s">
        <v>86</v>
      </c>
      <c r="R46" s="75" t="s">
        <v>87</v>
      </c>
      <c r="S46" s="75" t="s">
        <v>186</v>
      </c>
      <c r="T46" s="72" t="s">
        <v>113</v>
      </c>
      <c r="U46" s="72" t="s">
        <v>378</v>
      </c>
      <c r="V46" s="74" t="s">
        <v>379</v>
      </c>
      <c r="W46" s="72" t="s">
        <v>92</v>
      </c>
      <c r="X46" s="72">
        <v>0</v>
      </c>
      <c r="Y46" s="72" t="s">
        <v>104</v>
      </c>
      <c r="Z46" s="72" t="str">
        <f>VLOOKUP(D46,TIPOLOGIAS!A:F,5,0)</f>
        <v>TERRESTRE</v>
      </c>
      <c r="AA46" s="72" t="s">
        <v>126</v>
      </c>
      <c r="AB46" s="76">
        <v>0</v>
      </c>
      <c r="AC46" s="77">
        <f>IF(AND(W46="SOPORTE_TELEFÓNICO",OR(U46="SIN CONTACTO CON EL CB",U46="NÚMEROS DE CONTACTO ERRADOS")),0,IF(W46="SOPORTE_TELEFÓNICO",'BASE DE LIQUIDACION 2025'!$B$9,IF(Y46="TIPO I",'BASE DE LIQUIDACION 2025'!$C$3,IF(Y46="TIPO II",'BASE DE LIQUIDACION 2025'!$C$4,IF(Y46="TIPO III",'BASE DE LIQUIDACION 2025'!$C$5,'BASE DE LIQUIDACION 2025'!$C$6)))))</f>
        <v>0</v>
      </c>
      <c r="AD46" s="77">
        <f>IF(W46="SOPORTE_TELEFÓNICO",AC46,CIERRES!AB46*CIERRES!AC46)</f>
        <v>0</v>
      </c>
    </row>
    <row r="47" spans="1:30" s="64" customFormat="1" ht="13.15">
      <c r="A47" s="72" t="s">
        <v>189</v>
      </c>
      <c r="B47" s="72" t="str">
        <f>VLOOKUP(A47,'CENTRO DE COSTOS'!A:D,4,FALSE)</f>
        <v>KEVIN ALEXIS CORZO BUSTOS</v>
      </c>
      <c r="C47" s="72" t="str">
        <f>VLOOKUP(A47,'CENTRO DE COSTOS'!A:C,2,FALSE)</f>
        <v>0004-0007</v>
      </c>
      <c r="D47" s="72">
        <v>41001</v>
      </c>
      <c r="E47" s="72" t="s">
        <v>380</v>
      </c>
      <c r="F47" s="72">
        <v>78548</v>
      </c>
      <c r="G47" s="72" t="s">
        <v>80</v>
      </c>
      <c r="H47" s="72" t="s">
        <v>191</v>
      </c>
      <c r="I47" s="72" t="s">
        <v>189</v>
      </c>
      <c r="J47" s="72" t="s">
        <v>381</v>
      </c>
      <c r="K47" s="72" t="s">
        <v>84</v>
      </c>
      <c r="L47" s="72" t="s">
        <v>382</v>
      </c>
      <c r="M47" s="73">
        <v>45881.333333333336</v>
      </c>
      <c r="N47" s="73">
        <v>45883.658333333333</v>
      </c>
      <c r="O47" s="63"/>
      <c r="P47" s="74" t="s">
        <v>86</v>
      </c>
      <c r="Q47" s="72" t="s">
        <v>86</v>
      </c>
      <c r="R47" s="75" t="s">
        <v>100</v>
      </c>
      <c r="S47" s="75" t="s">
        <v>100</v>
      </c>
      <c r="T47" s="72" t="s">
        <v>135</v>
      </c>
      <c r="U47" s="72" t="s">
        <v>136</v>
      </c>
      <c r="V47" s="74" t="s">
        <v>383</v>
      </c>
      <c r="W47" s="72" t="s">
        <v>102</v>
      </c>
      <c r="X47" s="72" t="s">
        <v>384</v>
      </c>
      <c r="Y47" s="72" t="s">
        <v>104</v>
      </c>
      <c r="Z47" s="72" t="str">
        <f>VLOOKUP(D47,TIPOLOGIAS!A:F,5,0)</f>
        <v>TERRESTRE</v>
      </c>
      <c r="AA47" s="72" t="s">
        <v>198</v>
      </c>
      <c r="AB47" s="76">
        <v>1</v>
      </c>
      <c r="AC47" s="77">
        <f>IF(AND(W47="SOPORTE_TELEFÓNICO",OR(U47="SIN CONTACTO CON EL CB",U47="NÚMEROS DE CONTACTO ERRADOS")),0,IF(W47="SOPORTE_TELEFÓNICO",'BASE DE LIQUIDACION 2025'!$B$9,IF(Y47="TIPO I",'BASE DE LIQUIDACION 2025'!$C$3,IF(Y47="TIPO II",'BASE DE LIQUIDACION 2025'!$C$4,IF(Y47="TIPO III",'BASE DE LIQUIDACION 2025'!$C$5,'BASE DE LIQUIDACION 2025'!$C$6)))))</f>
        <v>44559.563999999998</v>
      </c>
      <c r="AD47" s="77">
        <f>IF(W47="SOPORTE_TELEFÓNICO",AC47,CIERRES!AB47*CIERRES!AC47)</f>
        <v>44559.563999999998</v>
      </c>
    </row>
    <row r="48" spans="1:30" s="64" customFormat="1" ht="13.15">
      <c r="A48" s="72" t="s">
        <v>95</v>
      </c>
      <c r="B48" s="72" t="str">
        <f>VLOOKUP(A48,'CENTRO DE COSTOS'!A:D,4,FALSE)</f>
        <v>DIEGO FERNANDO HENAO CARDONA</v>
      </c>
      <c r="C48" s="72" t="str">
        <f>VLOOKUP(A48,'CENTRO DE COSTOS'!A:C,2,FALSE)</f>
        <v>0004-0003</v>
      </c>
      <c r="D48" s="72">
        <v>76001</v>
      </c>
      <c r="E48" s="72" t="s">
        <v>385</v>
      </c>
      <c r="F48" s="72">
        <v>76363</v>
      </c>
      <c r="G48" s="72" t="s">
        <v>80</v>
      </c>
      <c r="H48" s="72" t="s">
        <v>97</v>
      </c>
      <c r="I48" s="72" t="s">
        <v>95</v>
      </c>
      <c r="J48" s="72" t="s">
        <v>386</v>
      </c>
      <c r="K48" s="72" t="s">
        <v>84</v>
      </c>
      <c r="L48" s="72" t="s">
        <v>387</v>
      </c>
      <c r="M48" s="73">
        <v>45883.479166666664</v>
      </c>
      <c r="N48" s="73">
        <v>45884.343055555553</v>
      </c>
      <c r="O48" s="63"/>
      <c r="P48" s="74" t="s">
        <v>86</v>
      </c>
      <c r="Q48" s="72" t="s">
        <v>86</v>
      </c>
      <c r="R48" s="75" t="s">
        <v>100</v>
      </c>
      <c r="S48" s="75" t="s">
        <v>100</v>
      </c>
      <c r="T48" s="72" t="s">
        <v>113</v>
      </c>
      <c r="U48" s="72" t="s">
        <v>114</v>
      </c>
      <c r="V48" s="74" t="s">
        <v>388</v>
      </c>
      <c r="W48" s="72" t="s">
        <v>102</v>
      </c>
      <c r="X48" s="72" t="s">
        <v>389</v>
      </c>
      <c r="Y48" s="72" t="s">
        <v>104</v>
      </c>
      <c r="Z48" s="72" t="str">
        <f>VLOOKUP(D48,TIPOLOGIAS!A:F,5,0)</f>
        <v>TERRESTRE</v>
      </c>
      <c r="AA48" s="72" t="s">
        <v>390</v>
      </c>
      <c r="AB48" s="76">
        <v>1</v>
      </c>
      <c r="AC48" s="77">
        <f>IF(AND(W48="SOPORTE_TELEFÓNICO",OR(U48="SIN CONTACTO CON EL CB",U48="NÚMEROS DE CONTACTO ERRADOS")),0,IF(W48="SOPORTE_TELEFÓNICO",'BASE DE LIQUIDACION 2025'!$B$9,IF(Y48="TIPO I",'BASE DE LIQUIDACION 2025'!$C$3,IF(Y48="TIPO II",'BASE DE LIQUIDACION 2025'!$C$4,IF(Y48="TIPO III",'BASE DE LIQUIDACION 2025'!$C$5,'BASE DE LIQUIDACION 2025'!$C$6)))))</f>
        <v>44559.563999999998</v>
      </c>
      <c r="AD48" s="77">
        <f>IF(W48="SOPORTE_TELEFÓNICO",AC48,CIERRES!AB48*CIERRES!AC48)</f>
        <v>44559.563999999998</v>
      </c>
    </row>
    <row r="49" spans="1:30" s="64" customFormat="1" ht="13.15">
      <c r="A49" s="72" t="s">
        <v>391</v>
      </c>
      <c r="B49" s="72" t="str">
        <f>VLOOKUP(A49,'CENTRO DE COSTOS'!A:D,4,FALSE)</f>
        <v>JOSE MAURICIO HERNANDEZ ROJAS</v>
      </c>
      <c r="C49" s="72" t="str">
        <f>VLOOKUP(A49,'CENTRO DE COSTOS'!A:C,2,FALSE)</f>
        <v>0004-0001</v>
      </c>
      <c r="D49" s="72">
        <v>20787</v>
      </c>
      <c r="E49" s="72" t="s">
        <v>392</v>
      </c>
      <c r="F49" s="72">
        <v>76650</v>
      </c>
      <c r="G49" s="72" t="s">
        <v>80</v>
      </c>
      <c r="H49" s="72" t="s">
        <v>393</v>
      </c>
      <c r="I49" s="72" t="s">
        <v>394</v>
      </c>
      <c r="J49" s="72" t="s">
        <v>395</v>
      </c>
      <c r="K49" s="72" t="s">
        <v>84</v>
      </c>
      <c r="L49" s="72" t="s">
        <v>396</v>
      </c>
      <c r="M49" s="73">
        <v>45878.7</v>
      </c>
      <c r="N49" s="73">
        <v>45884.34652777778</v>
      </c>
      <c r="O49" s="63"/>
      <c r="P49" s="74" t="s">
        <v>86</v>
      </c>
      <c r="Q49" s="72" t="s">
        <v>86</v>
      </c>
      <c r="R49" s="75" t="s">
        <v>100</v>
      </c>
      <c r="S49" s="75" t="s">
        <v>100</v>
      </c>
      <c r="T49" s="72" t="s">
        <v>89</v>
      </c>
      <c r="U49" s="72" t="s">
        <v>90</v>
      </c>
      <c r="V49" s="74" t="s">
        <v>397</v>
      </c>
      <c r="W49" s="72" t="s">
        <v>92</v>
      </c>
      <c r="X49" s="72">
        <v>0</v>
      </c>
      <c r="Y49" s="72" t="s">
        <v>176</v>
      </c>
      <c r="Z49" s="72" t="str">
        <f>VLOOKUP(D49,TIPOLOGIAS!A:F,5,0)</f>
        <v>TERRESTRE</v>
      </c>
      <c r="AA49" s="72" t="s">
        <v>398</v>
      </c>
      <c r="AB49" s="76">
        <v>0</v>
      </c>
      <c r="AC49" s="77">
        <f>IF(AND(W49="SOPORTE_TELEFÓNICO",OR(U49="SIN CONTACTO CON EL CB",U49="NÚMEROS DE CONTACTO ERRADOS")),0,IF(W49="SOPORTE_TELEFÓNICO",'BASE DE LIQUIDACION 2025'!$B$9,IF(Y49="TIPO I",'BASE DE LIQUIDACION 2025'!$C$3,IF(Y49="TIPO II",'BASE DE LIQUIDACION 2025'!$C$4,IF(Y49="TIPO III",'BASE DE LIQUIDACION 2025'!$C$5,'BASE DE LIQUIDACION 2025'!$C$6)))))</f>
        <v>37904.612000000001</v>
      </c>
      <c r="AD49" s="77">
        <f>IF(W49="SOPORTE_TELEFÓNICO",AC49,CIERRES!AB49*CIERRES!AC49)</f>
        <v>37904.612000000001</v>
      </c>
    </row>
    <row r="50" spans="1:30" s="64" customFormat="1" ht="13.15">
      <c r="A50" s="72" t="s">
        <v>127</v>
      </c>
      <c r="B50" s="72" t="str">
        <f>VLOOKUP(A50,'CENTRO DE COSTOS'!A:D,4,FALSE)</f>
        <v>JUAN SEBASTIÁN RÍOS CASTRILLÓN</v>
      </c>
      <c r="C50" s="72" t="str">
        <f>VLOOKUP(A50,'CENTRO DE COSTOS'!A:C,2,FALSE)</f>
        <v>0004-0005</v>
      </c>
      <c r="D50" s="72">
        <v>5308</v>
      </c>
      <c r="E50" s="72" t="s">
        <v>399</v>
      </c>
      <c r="F50" s="72">
        <v>29502</v>
      </c>
      <c r="G50" s="72" t="s">
        <v>80</v>
      </c>
      <c r="H50" s="72" t="s">
        <v>129</v>
      </c>
      <c r="I50" s="72" t="s">
        <v>400</v>
      </c>
      <c r="J50" s="72" t="s">
        <v>401</v>
      </c>
      <c r="K50" s="72" t="s">
        <v>84</v>
      </c>
      <c r="L50" s="72" t="s">
        <v>402</v>
      </c>
      <c r="M50" s="73">
        <v>45878.7</v>
      </c>
      <c r="N50" s="73">
        <v>45884.512499999997</v>
      </c>
      <c r="O50" s="63"/>
      <c r="P50" s="74" t="s">
        <v>86</v>
      </c>
      <c r="Q50" s="72" t="s">
        <v>86</v>
      </c>
      <c r="R50" s="75" t="s">
        <v>100</v>
      </c>
      <c r="S50" s="75" t="s">
        <v>100</v>
      </c>
      <c r="T50" s="72" t="s">
        <v>195</v>
      </c>
      <c r="U50" s="72" t="s">
        <v>196</v>
      </c>
      <c r="V50" s="74" t="s">
        <v>403</v>
      </c>
      <c r="W50" s="72" t="s">
        <v>92</v>
      </c>
      <c r="X50" s="72">
        <v>0</v>
      </c>
      <c r="Y50" s="72" t="s">
        <v>104</v>
      </c>
      <c r="Z50" s="72" t="str">
        <f>VLOOKUP(D50,TIPOLOGIAS!A:F,5,0)</f>
        <v>TERRESTRE</v>
      </c>
      <c r="AA50" s="72" t="s">
        <v>404</v>
      </c>
      <c r="AB50" s="76">
        <v>0</v>
      </c>
      <c r="AC50" s="77">
        <f>IF(AND(W50="SOPORTE_TELEFÓNICO",OR(U50="SIN CONTACTO CON EL CB",U50="NÚMEROS DE CONTACTO ERRADOS")),0,IF(W50="SOPORTE_TELEFÓNICO",'BASE DE LIQUIDACION 2025'!$B$9,IF(Y50="TIPO I",'BASE DE LIQUIDACION 2025'!$C$3,IF(Y50="TIPO II",'BASE DE LIQUIDACION 2025'!$C$4,IF(Y50="TIPO III",'BASE DE LIQUIDACION 2025'!$C$5,'BASE DE LIQUIDACION 2025'!$C$6)))))</f>
        <v>37904.612000000001</v>
      </c>
      <c r="AD50" s="77">
        <f>IF(W50="SOPORTE_TELEFÓNICO",AC50,CIERRES!AB50*CIERRES!AC50)</f>
        <v>37904.612000000001</v>
      </c>
    </row>
    <row r="51" spans="1:30" s="64" customFormat="1" ht="13.15">
      <c r="A51" s="72" t="s">
        <v>247</v>
      </c>
      <c r="B51" s="72" t="str">
        <f>VLOOKUP(A51,'CENTRO DE COSTOS'!A:D,4,FALSE)</f>
        <v>MIGUEL JULIÁN HERNÁNDEZ GUARÍN</v>
      </c>
      <c r="C51" s="72" t="str">
        <f>VLOOKUP(A51,'CENTRO DE COSTOS'!A:C,2,FALSE)</f>
        <v>0004-0008</v>
      </c>
      <c r="D51" s="72">
        <v>54001</v>
      </c>
      <c r="E51" s="72" t="s">
        <v>405</v>
      </c>
      <c r="F51" s="72">
        <v>79630</v>
      </c>
      <c r="G51" s="72" t="s">
        <v>80</v>
      </c>
      <c r="H51" s="72" t="s">
        <v>249</v>
      </c>
      <c r="I51" s="72" t="s">
        <v>247</v>
      </c>
      <c r="J51" s="72" t="s">
        <v>406</v>
      </c>
      <c r="K51" s="72" t="s">
        <v>84</v>
      </c>
      <c r="L51" s="72" t="s">
        <v>407</v>
      </c>
      <c r="M51" s="73">
        <v>45883.338194444441</v>
      </c>
      <c r="N51" s="73">
        <v>45884.640277777777</v>
      </c>
      <c r="O51" s="63"/>
      <c r="P51" s="74" t="s">
        <v>86</v>
      </c>
      <c r="Q51" s="72" t="s">
        <v>86</v>
      </c>
      <c r="R51" s="75" t="s">
        <v>100</v>
      </c>
      <c r="S51" s="75" t="s">
        <v>100</v>
      </c>
      <c r="T51" s="72" t="s">
        <v>113</v>
      </c>
      <c r="U51" s="72" t="s">
        <v>114</v>
      </c>
      <c r="V51" s="74" t="s">
        <v>408</v>
      </c>
      <c r="W51" s="72" t="s">
        <v>102</v>
      </c>
      <c r="X51" s="72">
        <v>0</v>
      </c>
      <c r="Y51" s="72" t="s">
        <v>104</v>
      </c>
      <c r="Z51" s="72" t="str">
        <f>VLOOKUP(D51,TIPOLOGIAS!A:F,5,0)</f>
        <v>TERRESTRE</v>
      </c>
      <c r="AA51" s="72" t="s">
        <v>409</v>
      </c>
      <c r="AB51" s="76">
        <v>1</v>
      </c>
      <c r="AC51" s="77">
        <f>IF(AND(W51="SOPORTE_TELEFÓNICO",OR(U51="SIN CONTACTO CON EL CB",U51="NÚMEROS DE CONTACTO ERRADOS")),0,IF(W51="SOPORTE_TELEFÓNICO",'BASE DE LIQUIDACION 2025'!$B$9,IF(Y51="TIPO I",'BASE DE LIQUIDACION 2025'!$C$3,IF(Y51="TIPO II",'BASE DE LIQUIDACION 2025'!$C$4,IF(Y51="TIPO III",'BASE DE LIQUIDACION 2025'!$C$5,'BASE DE LIQUIDACION 2025'!$C$6)))))</f>
        <v>44559.563999999998</v>
      </c>
      <c r="AD51" s="77">
        <f>IF(W51="SOPORTE_TELEFÓNICO",AC51,CIERRES!AB51*CIERRES!AC51)</f>
        <v>44559.563999999998</v>
      </c>
    </row>
    <row r="52" spans="1:30" s="64" customFormat="1" ht="13.15">
      <c r="A52" s="72" t="s">
        <v>338</v>
      </c>
      <c r="B52" s="72" t="str">
        <f>VLOOKUP(A52,'CENTRO DE COSTOS'!A:D,4,FALSE)</f>
        <v>JOSE MAURICIO HERNANDEZ ROJAS</v>
      </c>
      <c r="C52" s="72" t="str">
        <f>VLOOKUP(A52,'CENTRO DE COSTOS'!A:C,2,FALSE)</f>
        <v>0004-0001</v>
      </c>
      <c r="D52" s="72">
        <v>23068</v>
      </c>
      <c r="E52" s="72" t="s">
        <v>410</v>
      </c>
      <c r="F52" s="72">
        <v>72855</v>
      </c>
      <c r="G52" s="72" t="s">
        <v>80</v>
      </c>
      <c r="H52" s="72" t="s">
        <v>340</v>
      </c>
      <c r="I52" s="72" t="s">
        <v>411</v>
      </c>
      <c r="J52" s="72" t="s">
        <v>412</v>
      </c>
      <c r="K52" s="72" t="s">
        <v>84</v>
      </c>
      <c r="L52" s="72" t="s">
        <v>413</v>
      </c>
      <c r="M52" s="73">
        <v>45884.527777777781</v>
      </c>
      <c r="N52" s="73">
        <v>45884.654861111114</v>
      </c>
      <c r="O52" s="63"/>
      <c r="P52" s="74" t="s">
        <v>86</v>
      </c>
      <c r="Q52" s="72" t="s">
        <v>86</v>
      </c>
      <c r="R52" s="75" t="s">
        <v>100</v>
      </c>
      <c r="S52" s="75" t="s">
        <v>100</v>
      </c>
      <c r="T52" s="72" t="s">
        <v>89</v>
      </c>
      <c r="U52" s="72" t="s">
        <v>90</v>
      </c>
      <c r="V52" s="74" t="s">
        <v>414</v>
      </c>
      <c r="W52" s="72" t="s">
        <v>102</v>
      </c>
      <c r="X52" s="72">
        <v>0</v>
      </c>
      <c r="Y52" s="72" t="s">
        <v>116</v>
      </c>
      <c r="Z52" s="72" t="str">
        <f>VLOOKUP(D52,TIPOLOGIAS!A:F,5,0)</f>
        <v>TERRESTRE</v>
      </c>
      <c r="AA52" s="72" t="s">
        <v>344</v>
      </c>
      <c r="AB52" s="76">
        <v>1</v>
      </c>
      <c r="AC52" s="77">
        <f>IF(AND(W52="SOPORTE_TELEFÓNICO",OR(U52="SIN CONTACTO CON EL CB",U52="NÚMEROS DE CONTACTO ERRADOS")),0,IF(W52="SOPORTE_TELEFÓNICO",'BASE DE LIQUIDACION 2025'!$B$9,IF(Y52="TIPO I",'BASE DE LIQUIDACION 2025'!$C$3,IF(Y52="TIPO II",'BASE DE LIQUIDACION 2025'!$C$4,IF(Y52="TIPO III",'BASE DE LIQUIDACION 2025'!$C$5,'BASE DE LIQUIDACION 2025'!$C$6)))))</f>
        <v>222904.07200000001</v>
      </c>
      <c r="AD52" s="77">
        <f>IF(W52="SOPORTE_TELEFÓNICO",AC52,CIERRES!AB52*CIERRES!AC52)</f>
        <v>222904.07200000001</v>
      </c>
    </row>
    <row r="53" spans="1:30" s="64" customFormat="1" ht="13.15">
      <c r="A53" s="72" t="s">
        <v>239</v>
      </c>
      <c r="B53" s="72" t="str">
        <f>VLOOKUP(A53,'CENTRO DE COSTOS'!A:D,4,FALSE)</f>
        <v>DIEGO FERNANDO HENAO CARDONA</v>
      </c>
      <c r="C53" s="72" t="str">
        <f>VLOOKUP(A53,'CENTRO DE COSTOS'!A:C,2,FALSE)</f>
        <v>0004-0003</v>
      </c>
      <c r="D53" s="72">
        <v>52427</v>
      </c>
      <c r="E53" s="72" t="s">
        <v>415</v>
      </c>
      <c r="F53" s="72">
        <v>41473</v>
      </c>
      <c r="G53" s="72" t="s">
        <v>80</v>
      </c>
      <c r="H53" s="72" t="s">
        <v>241</v>
      </c>
      <c r="I53" s="72" t="s">
        <v>416</v>
      </c>
      <c r="J53" s="72" t="s">
        <v>417</v>
      </c>
      <c r="K53" s="72" t="s">
        <v>84</v>
      </c>
      <c r="L53" s="72" t="s">
        <v>418</v>
      </c>
      <c r="M53" s="73">
        <v>45875.720833333333</v>
      </c>
      <c r="N53" s="73">
        <v>45885.361805555556</v>
      </c>
      <c r="O53" s="63"/>
      <c r="P53" s="74" t="s">
        <v>86</v>
      </c>
      <c r="Q53" s="72" t="s">
        <v>86</v>
      </c>
      <c r="R53" s="75" t="s">
        <v>87</v>
      </c>
      <c r="S53" s="75" t="s">
        <v>186</v>
      </c>
      <c r="T53" s="72" t="s">
        <v>113</v>
      </c>
      <c r="U53" s="72" t="s">
        <v>114</v>
      </c>
      <c r="V53" s="74" t="s">
        <v>419</v>
      </c>
      <c r="W53" s="72" t="s">
        <v>102</v>
      </c>
      <c r="X53" s="72">
        <v>0</v>
      </c>
      <c r="Y53" s="72" t="s">
        <v>93</v>
      </c>
      <c r="Z53" s="72" t="str">
        <f>VLOOKUP(D53,TIPOLOGIAS!A:F,5,0)</f>
        <v>FLUVIAL</v>
      </c>
      <c r="AA53" s="72" t="s">
        <v>420</v>
      </c>
      <c r="AB53" s="76">
        <v>1</v>
      </c>
      <c r="AC53" s="77">
        <f>IF(AND(W53="SOPORTE_TELEFÓNICO",OR(U53="SIN CONTACTO CON EL CB",U53="NÚMEROS DE CONTACTO ERRADOS")),0,IF(W53="SOPORTE_TELEFÓNICO",'BASE DE LIQUIDACION 2025'!$B$9,IF(Y53="TIPO I",'BASE DE LIQUIDACION 2025'!$C$3,IF(Y53="TIPO II",'BASE DE LIQUIDACION 2025'!$C$4,IF(Y53="TIPO III",'BASE DE LIQUIDACION 2025'!$C$5,'BASE DE LIQUIDACION 2025'!$C$6)))))</f>
        <v>464809.36800000002</v>
      </c>
      <c r="AD53" s="77">
        <f>IF(W53="SOPORTE_TELEFÓNICO",AC53,CIERRES!AB53*CIERRES!AC53)</f>
        <v>464809.36800000002</v>
      </c>
    </row>
    <row r="54" spans="1:30" s="64" customFormat="1" ht="13.15">
      <c r="A54" s="72" t="s">
        <v>169</v>
      </c>
      <c r="B54" s="72" t="str">
        <f>VLOOKUP(A54,'CENTRO DE COSTOS'!A:D,4,FALSE)</f>
        <v>MIGUEL JULIÁN HERNÁNDEZ GUARÍN</v>
      </c>
      <c r="C54" s="72" t="str">
        <f>VLOOKUP(A54,'CENTRO DE COSTOS'!A:C,2,FALSE)</f>
        <v>0004-0008</v>
      </c>
      <c r="D54" s="72">
        <v>68307</v>
      </c>
      <c r="E54" s="72" t="s">
        <v>421</v>
      </c>
      <c r="F54" s="72">
        <v>63099</v>
      </c>
      <c r="G54" s="72" t="s">
        <v>80</v>
      </c>
      <c r="H54" s="72" t="s">
        <v>171</v>
      </c>
      <c r="I54" s="72" t="s">
        <v>422</v>
      </c>
      <c r="J54" s="72" t="s">
        <v>423</v>
      </c>
      <c r="K54" s="72" t="s">
        <v>84</v>
      </c>
      <c r="L54" s="72" t="s">
        <v>424</v>
      </c>
      <c r="M54" s="73">
        <v>45883.479166666664</v>
      </c>
      <c r="N54" s="73">
        <v>45885.393750000003</v>
      </c>
      <c r="O54" s="63"/>
      <c r="P54" s="74" t="s">
        <v>86</v>
      </c>
      <c r="Q54" s="72" t="s">
        <v>86</v>
      </c>
      <c r="R54" s="75" t="s">
        <v>100</v>
      </c>
      <c r="S54" s="75" t="s">
        <v>100</v>
      </c>
      <c r="T54" s="72" t="s">
        <v>89</v>
      </c>
      <c r="U54" s="72" t="s">
        <v>90</v>
      </c>
      <c r="V54" s="74" t="s">
        <v>425</v>
      </c>
      <c r="W54" s="72" t="s">
        <v>92</v>
      </c>
      <c r="X54" s="72">
        <v>0</v>
      </c>
      <c r="Y54" s="72" t="s">
        <v>104</v>
      </c>
      <c r="Z54" s="72" t="str">
        <f>VLOOKUP(D54,TIPOLOGIAS!A:F,5,0)</f>
        <v>TERRESTRE</v>
      </c>
      <c r="AA54" s="72" t="s">
        <v>177</v>
      </c>
      <c r="AB54" s="76">
        <v>0</v>
      </c>
      <c r="AC54" s="77">
        <f>IF(AND(W54="SOPORTE_TELEFÓNICO",OR(U54="SIN CONTACTO CON EL CB",U54="NÚMEROS DE CONTACTO ERRADOS")),0,IF(W54="SOPORTE_TELEFÓNICO",'BASE DE LIQUIDACION 2025'!$B$9,IF(Y54="TIPO I",'BASE DE LIQUIDACION 2025'!$C$3,IF(Y54="TIPO II",'BASE DE LIQUIDACION 2025'!$C$4,IF(Y54="TIPO III",'BASE DE LIQUIDACION 2025'!$C$5,'BASE DE LIQUIDACION 2025'!$C$6)))))</f>
        <v>37904.612000000001</v>
      </c>
      <c r="AD54" s="77">
        <f>IF(W54="SOPORTE_TELEFÓNICO",AC54,CIERRES!AB54*CIERRES!AC54)</f>
        <v>37904.612000000001</v>
      </c>
    </row>
    <row r="55" spans="1:30" s="64" customFormat="1" ht="13.15">
      <c r="A55" s="72" t="s">
        <v>247</v>
      </c>
      <c r="B55" s="72" t="str">
        <f>VLOOKUP(A55,'CENTRO DE COSTOS'!A:D,4,FALSE)</f>
        <v>MIGUEL JULIÁN HERNÁNDEZ GUARÍN</v>
      </c>
      <c r="C55" s="72" t="str">
        <f>VLOOKUP(A55,'CENTRO DE COSTOS'!A:C,2,FALSE)</f>
        <v>0004-0008</v>
      </c>
      <c r="D55" s="72">
        <v>54001</v>
      </c>
      <c r="E55" s="72" t="s">
        <v>426</v>
      </c>
      <c r="F55" s="72">
        <v>71022</v>
      </c>
      <c r="G55" s="72" t="s">
        <v>80</v>
      </c>
      <c r="H55" s="72" t="s">
        <v>249</v>
      </c>
      <c r="I55" s="72" t="s">
        <v>247</v>
      </c>
      <c r="J55" s="72" t="s">
        <v>250</v>
      </c>
      <c r="K55" s="72" t="s">
        <v>84</v>
      </c>
      <c r="L55" s="72" t="s">
        <v>427</v>
      </c>
      <c r="M55" s="73">
        <v>45884.48333333333</v>
      </c>
      <c r="N55" s="73">
        <v>45885.413194444445</v>
      </c>
      <c r="O55" s="63"/>
      <c r="P55" s="74" t="s">
        <v>86</v>
      </c>
      <c r="Q55" s="72" t="s">
        <v>112</v>
      </c>
      <c r="R55" s="75" t="s">
        <v>87</v>
      </c>
      <c r="S55" s="75" t="s">
        <v>88</v>
      </c>
      <c r="T55" s="72" t="s">
        <v>113</v>
      </c>
      <c r="U55" s="72" t="s">
        <v>114</v>
      </c>
      <c r="V55" s="74" t="s">
        <v>428</v>
      </c>
      <c r="W55" s="72" t="s">
        <v>102</v>
      </c>
      <c r="X55" s="72">
        <v>0</v>
      </c>
      <c r="Y55" s="72" t="s">
        <v>104</v>
      </c>
      <c r="Z55" s="72" t="str">
        <f>VLOOKUP(D55,TIPOLOGIAS!A:F,5,0)</f>
        <v>TERRESTRE</v>
      </c>
      <c r="AA55" s="72" t="s">
        <v>409</v>
      </c>
      <c r="AB55" s="76">
        <v>1</v>
      </c>
      <c r="AC55" s="77">
        <f>IF(AND(W55="SOPORTE_TELEFÓNICO",OR(U55="SIN CONTACTO CON EL CB",U55="NÚMEROS DE CONTACTO ERRADOS")),0,IF(W55="SOPORTE_TELEFÓNICO",'BASE DE LIQUIDACION 2025'!$B$9,IF(Y55="TIPO I",'BASE DE LIQUIDACION 2025'!$C$3,IF(Y55="TIPO II",'BASE DE LIQUIDACION 2025'!$C$4,IF(Y55="TIPO III",'BASE DE LIQUIDACION 2025'!$C$5,'BASE DE LIQUIDACION 2025'!$C$6)))))</f>
        <v>44559.563999999998</v>
      </c>
      <c r="AD55" s="77">
        <f>IF(W55="SOPORTE_TELEFÓNICO",AC55,CIERRES!AB55*CIERRES!AC55)</f>
        <v>44559.563999999998</v>
      </c>
    </row>
    <row r="56" spans="1:30" s="64" customFormat="1" ht="13.15">
      <c r="A56" s="72" t="s">
        <v>106</v>
      </c>
      <c r="B56" s="72" t="str">
        <f>VLOOKUP(A56,'CENTRO DE COSTOS'!A:D,4,FALSE)</f>
        <v>KEVIN ALEXIS CORZO BUSTOS</v>
      </c>
      <c r="C56" s="72" t="str">
        <f>VLOOKUP(A56,'CENTRO DE COSTOS'!A:C,2,FALSE)</f>
        <v>0004-0007</v>
      </c>
      <c r="D56" s="72">
        <v>85440</v>
      </c>
      <c r="E56" s="72" t="s">
        <v>429</v>
      </c>
      <c r="F56" s="72">
        <v>34510</v>
      </c>
      <c r="G56" s="72" t="s">
        <v>80</v>
      </c>
      <c r="H56" s="72" t="s">
        <v>430</v>
      </c>
      <c r="I56" s="72" t="s">
        <v>431</v>
      </c>
      <c r="J56" s="72" t="s">
        <v>432</v>
      </c>
      <c r="K56" s="72" t="s">
        <v>84</v>
      </c>
      <c r="L56" s="72" t="s">
        <v>433</v>
      </c>
      <c r="M56" s="73">
        <v>45884.527777777781</v>
      </c>
      <c r="N56" s="73">
        <v>45885.465277777781</v>
      </c>
      <c r="O56" s="63"/>
      <c r="P56" s="74" t="s">
        <v>86</v>
      </c>
      <c r="Q56" s="72" t="s">
        <v>86</v>
      </c>
      <c r="R56" s="75" t="s">
        <v>100</v>
      </c>
      <c r="S56" s="75" t="s">
        <v>100</v>
      </c>
      <c r="T56" s="72" t="s">
        <v>89</v>
      </c>
      <c r="U56" s="72" t="s">
        <v>90</v>
      </c>
      <c r="V56" s="74" t="s">
        <v>434</v>
      </c>
      <c r="W56" s="72" t="s">
        <v>92</v>
      </c>
      <c r="X56" s="72">
        <v>0</v>
      </c>
      <c r="Y56" s="72" t="s">
        <v>116</v>
      </c>
      <c r="Z56" s="72" t="str">
        <f>VLOOKUP(D56,TIPOLOGIAS!A:F,5,0)</f>
        <v>TERRESTRE</v>
      </c>
      <c r="AA56" s="72" t="s">
        <v>435</v>
      </c>
      <c r="AB56" s="76">
        <v>2</v>
      </c>
      <c r="AC56" s="77">
        <f>IF(AND(W56="SOPORTE_TELEFÓNICO",OR(U56="SIN CONTACTO CON EL CB",U56="NÚMEROS DE CONTACTO ERRADOS")),0,IF(W56="SOPORTE_TELEFÓNICO",'BASE DE LIQUIDACION 2025'!$B$9,IF(Y56="TIPO I",'BASE DE LIQUIDACION 2025'!$C$3,IF(Y56="TIPO II",'BASE DE LIQUIDACION 2025'!$C$4,IF(Y56="TIPO III",'BASE DE LIQUIDACION 2025'!$C$5,'BASE DE LIQUIDACION 2025'!$C$6)))))</f>
        <v>37904.612000000001</v>
      </c>
      <c r="AD56" s="77">
        <f>IF(W56="SOPORTE_TELEFÓNICO",AC56,CIERRES!AB56*CIERRES!AC56)</f>
        <v>37904.612000000001</v>
      </c>
    </row>
    <row r="57" spans="1:30" s="64" customFormat="1" ht="13.15">
      <c r="A57" s="72" t="s">
        <v>138</v>
      </c>
      <c r="B57" s="72" t="str">
        <f>VLOOKUP(A57,'CENTRO DE COSTOS'!A:D,4,FALSE)</f>
        <v>WILLIAM ASDRUBAL ROZO ROZO</v>
      </c>
      <c r="C57" s="72" t="str">
        <f>VLOOKUP(A57,'CENTRO DE COSTOS'!A:C,2,FALSE)</f>
        <v>0004-0004</v>
      </c>
      <c r="D57" s="72">
        <v>11001</v>
      </c>
      <c r="E57" s="72" t="s">
        <v>436</v>
      </c>
      <c r="F57" s="72">
        <v>77003</v>
      </c>
      <c r="G57" s="72" t="s">
        <v>80</v>
      </c>
      <c r="H57" s="72" t="s">
        <v>140</v>
      </c>
      <c r="I57" s="72" t="s">
        <v>138</v>
      </c>
      <c r="J57" s="72" t="s">
        <v>437</v>
      </c>
      <c r="K57" s="72" t="s">
        <v>84</v>
      </c>
      <c r="L57" s="72" t="s">
        <v>438</v>
      </c>
      <c r="M57" s="73">
        <v>45884.527777777781</v>
      </c>
      <c r="N57" s="73">
        <v>45885.479861111111</v>
      </c>
      <c r="O57" s="63"/>
      <c r="P57" s="74" t="s">
        <v>86</v>
      </c>
      <c r="Q57" s="72" t="s">
        <v>86</v>
      </c>
      <c r="R57" s="75" t="s">
        <v>100</v>
      </c>
      <c r="S57" s="75" t="s">
        <v>100</v>
      </c>
      <c r="T57" s="72" t="s">
        <v>195</v>
      </c>
      <c r="U57" s="72" t="s">
        <v>196</v>
      </c>
      <c r="V57" s="74" t="s">
        <v>439</v>
      </c>
      <c r="W57" s="72" t="s">
        <v>102</v>
      </c>
      <c r="X57" s="72" t="s">
        <v>440</v>
      </c>
      <c r="Y57" s="72" t="s">
        <v>104</v>
      </c>
      <c r="Z57" s="72" t="str">
        <f>VLOOKUP(D57,TIPOLOGIAS!A:F,5,0)</f>
        <v>TERRESTRE</v>
      </c>
      <c r="AA57" s="72" t="s">
        <v>151</v>
      </c>
      <c r="AB57" s="76">
        <v>1</v>
      </c>
      <c r="AC57" s="77">
        <f>IF(AND(W57="SOPORTE_TELEFÓNICO",OR(U57="SIN CONTACTO CON EL CB",U57="NÚMEROS DE CONTACTO ERRADOS")),0,IF(W57="SOPORTE_TELEFÓNICO",'BASE DE LIQUIDACION 2025'!$B$9,IF(Y57="TIPO I",'BASE DE LIQUIDACION 2025'!$C$3,IF(Y57="TIPO II",'BASE DE LIQUIDACION 2025'!$C$4,IF(Y57="TIPO III",'BASE DE LIQUIDACION 2025'!$C$5,'BASE DE LIQUIDACION 2025'!$C$6)))))</f>
        <v>44559.563999999998</v>
      </c>
      <c r="AD57" s="77">
        <f>IF(W57="SOPORTE_TELEFÓNICO",AC57,CIERRES!AB57*CIERRES!AC57)</f>
        <v>44559.563999999998</v>
      </c>
    </row>
    <row r="58" spans="1:30" s="64" customFormat="1" ht="13.15">
      <c r="A58" s="72" t="s">
        <v>95</v>
      </c>
      <c r="B58" s="72" t="str">
        <f>VLOOKUP(A58,'CENTRO DE COSTOS'!A:D,4,FALSE)</f>
        <v>DIEGO FERNANDO HENAO CARDONA</v>
      </c>
      <c r="C58" s="72" t="str">
        <f>VLOOKUP(A58,'CENTRO DE COSTOS'!A:C,2,FALSE)</f>
        <v>0004-0003</v>
      </c>
      <c r="D58" s="72">
        <v>76001</v>
      </c>
      <c r="E58" s="72" t="s">
        <v>441</v>
      </c>
      <c r="F58" s="72">
        <v>67145</v>
      </c>
      <c r="G58" s="72" t="s">
        <v>80</v>
      </c>
      <c r="H58" s="72" t="s">
        <v>97</v>
      </c>
      <c r="I58" s="72" t="s">
        <v>95</v>
      </c>
      <c r="J58" s="72" t="s">
        <v>442</v>
      </c>
      <c r="K58" s="72" t="s">
        <v>84</v>
      </c>
      <c r="L58" s="72" t="s">
        <v>443</v>
      </c>
      <c r="M58" s="73">
        <v>45884.527777777781</v>
      </c>
      <c r="N58" s="73">
        <v>45885.522222222222</v>
      </c>
      <c r="O58" s="63"/>
      <c r="P58" s="74" t="s">
        <v>86</v>
      </c>
      <c r="Q58" s="72" t="s">
        <v>86</v>
      </c>
      <c r="R58" s="75" t="s">
        <v>100</v>
      </c>
      <c r="S58" s="75" t="s">
        <v>100</v>
      </c>
      <c r="T58" s="72" t="s">
        <v>89</v>
      </c>
      <c r="U58" s="72" t="s">
        <v>90</v>
      </c>
      <c r="V58" s="74" t="s">
        <v>444</v>
      </c>
      <c r="W58" s="72" t="s">
        <v>102</v>
      </c>
      <c r="X58" s="72">
        <v>0</v>
      </c>
      <c r="Y58" s="72" t="s">
        <v>104</v>
      </c>
      <c r="Z58" s="72" t="str">
        <f>VLOOKUP(D58,TIPOLOGIAS!A:F,5,0)</f>
        <v>TERRESTRE</v>
      </c>
      <c r="AA58" s="72" t="s">
        <v>390</v>
      </c>
      <c r="AB58" s="76">
        <v>1</v>
      </c>
      <c r="AC58" s="77">
        <f>IF(AND(W58="SOPORTE_TELEFÓNICO",OR(U58="SIN CONTACTO CON EL CB",U58="NÚMEROS DE CONTACTO ERRADOS")),0,IF(W58="SOPORTE_TELEFÓNICO",'BASE DE LIQUIDACION 2025'!$B$9,IF(Y58="TIPO I",'BASE DE LIQUIDACION 2025'!$C$3,IF(Y58="TIPO II",'BASE DE LIQUIDACION 2025'!$C$4,IF(Y58="TIPO III",'BASE DE LIQUIDACION 2025'!$C$5,'BASE DE LIQUIDACION 2025'!$C$6)))))</f>
        <v>44559.563999999998</v>
      </c>
      <c r="AD58" s="77">
        <f>IF(W58="SOPORTE_TELEFÓNICO",AC58,CIERRES!AB58*CIERRES!AC58)</f>
        <v>44559.563999999998</v>
      </c>
    </row>
    <row r="59" spans="1:30" s="64" customFormat="1" ht="13.15">
      <c r="A59" s="72" t="s">
        <v>127</v>
      </c>
      <c r="B59" s="72" t="str">
        <f>VLOOKUP(A59,'CENTRO DE COSTOS'!A:D,4,FALSE)</f>
        <v>JUAN SEBASTIÁN RÍOS CASTRILLÓN</v>
      </c>
      <c r="C59" s="72" t="str">
        <f>VLOOKUP(A59,'CENTRO DE COSTOS'!A:C,2,FALSE)</f>
        <v>0004-0005</v>
      </c>
      <c r="D59" s="72">
        <v>5088</v>
      </c>
      <c r="E59" s="72" t="s">
        <v>445</v>
      </c>
      <c r="F59" s="72">
        <v>36435</v>
      </c>
      <c r="G59" s="72" t="s">
        <v>80</v>
      </c>
      <c r="H59" s="72" t="s">
        <v>129</v>
      </c>
      <c r="I59" s="72" t="s">
        <v>446</v>
      </c>
      <c r="J59" s="72" t="s">
        <v>447</v>
      </c>
      <c r="K59" s="72" t="s">
        <v>84</v>
      </c>
      <c r="L59" s="72" t="s">
        <v>448</v>
      </c>
      <c r="M59" s="73">
        <v>45884.527777777781</v>
      </c>
      <c r="N59" s="73">
        <v>45886.6</v>
      </c>
      <c r="O59" s="63"/>
      <c r="P59" s="74" t="s">
        <v>86</v>
      </c>
      <c r="Q59" s="72" t="s">
        <v>86</v>
      </c>
      <c r="R59" s="75" t="s">
        <v>100</v>
      </c>
      <c r="S59" s="75" t="s">
        <v>100</v>
      </c>
      <c r="T59" s="72" t="s">
        <v>89</v>
      </c>
      <c r="U59" s="72" t="s">
        <v>90</v>
      </c>
      <c r="V59" s="74" t="s">
        <v>449</v>
      </c>
      <c r="W59" s="72" t="s">
        <v>102</v>
      </c>
      <c r="X59" s="72" t="s">
        <v>450</v>
      </c>
      <c r="Y59" s="72" t="s">
        <v>104</v>
      </c>
      <c r="Z59" s="72" t="str">
        <f>VLOOKUP(D59,TIPOLOGIAS!A:F,5,0)</f>
        <v>TERRESTRE</v>
      </c>
      <c r="AA59" s="72" t="s">
        <v>451</v>
      </c>
      <c r="AB59" s="76">
        <v>1</v>
      </c>
      <c r="AC59" s="77">
        <f>IF(AND(W59="SOPORTE_TELEFÓNICO",OR(U59="SIN CONTACTO CON EL CB",U59="NÚMEROS DE CONTACTO ERRADOS")),0,IF(W59="SOPORTE_TELEFÓNICO",'BASE DE LIQUIDACION 2025'!$B$9,IF(Y59="TIPO I",'BASE DE LIQUIDACION 2025'!$C$3,IF(Y59="TIPO II",'BASE DE LIQUIDACION 2025'!$C$4,IF(Y59="TIPO III",'BASE DE LIQUIDACION 2025'!$C$5,'BASE DE LIQUIDACION 2025'!$C$6)))))</f>
        <v>44559.563999999998</v>
      </c>
      <c r="AD59" s="77">
        <f>IF(W59="SOPORTE_TELEFÓNICO",AC59,CIERRES!AB59*CIERRES!AC59)</f>
        <v>44559.563999999998</v>
      </c>
    </row>
    <row r="60" spans="1:30" s="64" customFormat="1" ht="13.15">
      <c r="A60" s="72" t="s">
        <v>239</v>
      </c>
      <c r="B60" s="72" t="str">
        <f>VLOOKUP(A60,'CENTRO DE COSTOS'!A:D,4,FALSE)</f>
        <v>DIEGO FERNANDO HENAO CARDONA</v>
      </c>
      <c r="C60" s="72" t="str">
        <f>VLOOKUP(A60,'CENTRO DE COSTOS'!A:C,2,FALSE)</f>
        <v>0004-0003</v>
      </c>
      <c r="D60" s="72">
        <v>86749</v>
      </c>
      <c r="E60" s="72" t="s">
        <v>452</v>
      </c>
      <c r="F60" s="72">
        <v>76649</v>
      </c>
      <c r="G60" s="72" t="s">
        <v>80</v>
      </c>
      <c r="H60" s="72" t="s">
        <v>453</v>
      </c>
      <c r="I60" s="72" t="s">
        <v>454</v>
      </c>
      <c r="J60" s="72" t="s">
        <v>455</v>
      </c>
      <c r="K60" s="72" t="s">
        <v>84</v>
      </c>
      <c r="L60" s="72" t="s">
        <v>456</v>
      </c>
      <c r="M60" s="73">
        <v>45883.479166666664</v>
      </c>
      <c r="N60" s="73">
        <v>45888.381944444445</v>
      </c>
      <c r="O60" s="63"/>
      <c r="P60" s="74" t="s">
        <v>86</v>
      </c>
      <c r="Q60" s="72" t="s">
        <v>86</v>
      </c>
      <c r="R60" s="75" t="s">
        <v>100</v>
      </c>
      <c r="S60" s="75" t="s">
        <v>100</v>
      </c>
      <c r="T60" s="72" t="s">
        <v>89</v>
      </c>
      <c r="U60" s="72" t="s">
        <v>90</v>
      </c>
      <c r="V60" s="74" t="s">
        <v>457</v>
      </c>
      <c r="W60" s="72" t="s">
        <v>102</v>
      </c>
      <c r="X60" s="72" t="s">
        <v>458</v>
      </c>
      <c r="Y60" s="72" t="s">
        <v>116</v>
      </c>
      <c r="Z60" s="72" t="str">
        <f>VLOOKUP(D60,TIPOLOGIAS!A:F,5,0)</f>
        <v>TERRESTRE</v>
      </c>
      <c r="AA60" s="72" t="s">
        <v>459</v>
      </c>
      <c r="AB60" s="76">
        <v>1</v>
      </c>
      <c r="AC60" s="77">
        <f>IF(AND(W60="SOPORTE_TELEFÓNICO",OR(U60="SIN CONTACTO CON EL CB",U60="NÚMEROS DE CONTACTO ERRADOS")),0,IF(W60="SOPORTE_TELEFÓNICO",'BASE DE LIQUIDACION 2025'!$B$9,IF(Y60="TIPO I",'BASE DE LIQUIDACION 2025'!$C$3,IF(Y60="TIPO II",'BASE DE LIQUIDACION 2025'!$C$4,IF(Y60="TIPO III",'BASE DE LIQUIDACION 2025'!$C$5,'BASE DE LIQUIDACION 2025'!$C$6)))))</f>
        <v>222904.07200000001</v>
      </c>
      <c r="AD60" s="77">
        <f>IF(W60="SOPORTE_TELEFÓNICO",AC60,CIERRES!AB60*CIERRES!AC60)</f>
        <v>222904.07200000001</v>
      </c>
    </row>
    <row r="61" spans="1:30" s="64" customFormat="1" ht="13.15">
      <c r="A61" s="72" t="s">
        <v>239</v>
      </c>
      <c r="B61" s="72" t="str">
        <f>VLOOKUP(A61,'CENTRO DE COSTOS'!A:D,4,FALSE)</f>
        <v>DIEGO FERNANDO HENAO CARDONA</v>
      </c>
      <c r="C61" s="72" t="str">
        <f>VLOOKUP(A61,'CENTRO DE COSTOS'!A:C,2,FALSE)</f>
        <v>0004-0003</v>
      </c>
      <c r="D61" s="72">
        <v>52051</v>
      </c>
      <c r="E61" s="72" t="s">
        <v>460</v>
      </c>
      <c r="F61" s="72">
        <v>36250</v>
      </c>
      <c r="G61" s="72" t="s">
        <v>80</v>
      </c>
      <c r="H61" s="72" t="s">
        <v>241</v>
      </c>
      <c r="I61" s="72" t="s">
        <v>461</v>
      </c>
      <c r="J61" s="72" t="s">
        <v>462</v>
      </c>
      <c r="K61" s="72" t="s">
        <v>84</v>
      </c>
      <c r="L61" s="72" t="s">
        <v>463</v>
      </c>
      <c r="M61" s="73">
        <v>45884.527777777781</v>
      </c>
      <c r="N61" s="73">
        <v>45888.505555555559</v>
      </c>
      <c r="O61" s="63"/>
      <c r="P61" s="74" t="s">
        <v>86</v>
      </c>
      <c r="Q61" s="72" t="s">
        <v>86</v>
      </c>
      <c r="R61" s="75" t="s">
        <v>100</v>
      </c>
      <c r="S61" s="75" t="s">
        <v>100</v>
      </c>
      <c r="T61" s="72" t="s">
        <v>113</v>
      </c>
      <c r="U61" s="72" t="s">
        <v>114</v>
      </c>
      <c r="V61" s="74" t="s">
        <v>464</v>
      </c>
      <c r="W61" s="72" t="s">
        <v>102</v>
      </c>
      <c r="X61" s="72" t="s">
        <v>465</v>
      </c>
      <c r="Y61" s="72" t="s">
        <v>125</v>
      </c>
      <c r="Z61" s="72" t="str">
        <f>VLOOKUP(D61,TIPOLOGIAS!A:F,5,0)</f>
        <v>TERRESTRE</v>
      </c>
      <c r="AA61" s="72" t="s">
        <v>459</v>
      </c>
      <c r="AB61" s="76">
        <v>1</v>
      </c>
      <c r="AC61" s="77">
        <f>IF(AND(W61="SOPORTE_TELEFÓNICO",OR(U61="SIN CONTACTO CON EL CB",U61="NÚMEROS DE CONTACTO ERRADOS")),0,IF(W61="SOPORTE_TELEFÓNICO",'BASE DE LIQUIDACION 2025'!$B$9,IF(Y61="TIPO I",'BASE DE LIQUIDACION 2025'!$C$3,IF(Y61="TIPO II",'BASE DE LIQUIDACION 2025'!$C$4,IF(Y61="TIPO III",'BASE DE LIQUIDACION 2025'!$C$5,'BASE DE LIQUIDACION 2025'!$C$6)))))</f>
        <v>134410.88400000002</v>
      </c>
      <c r="AD61" s="77">
        <f>IF(W61="SOPORTE_TELEFÓNICO",AC61,CIERRES!AB61*CIERRES!AC61)</f>
        <v>134410.88400000002</v>
      </c>
    </row>
    <row r="62" spans="1:30" s="64" customFormat="1" ht="13.15">
      <c r="A62" s="72" t="s">
        <v>169</v>
      </c>
      <c r="B62" s="72" t="str">
        <f>VLOOKUP(A62,'CENTRO DE COSTOS'!A:D,4,FALSE)</f>
        <v>MIGUEL JULIÁN HERNÁNDEZ GUARÍN</v>
      </c>
      <c r="C62" s="72" t="str">
        <f>VLOOKUP(A62,'CENTRO DE COSTOS'!A:C,2,FALSE)</f>
        <v>0004-0008</v>
      </c>
      <c r="D62" s="72">
        <v>68001</v>
      </c>
      <c r="E62" s="72" t="s">
        <v>466</v>
      </c>
      <c r="F62" s="72">
        <v>54639</v>
      </c>
      <c r="G62" s="72" t="s">
        <v>80</v>
      </c>
      <c r="H62" s="72" t="s">
        <v>171</v>
      </c>
      <c r="I62" s="72" t="s">
        <v>169</v>
      </c>
      <c r="J62" s="72" t="s">
        <v>467</v>
      </c>
      <c r="K62" s="72" t="s">
        <v>84</v>
      </c>
      <c r="L62" s="72" t="s">
        <v>468</v>
      </c>
      <c r="M62" s="73">
        <v>45888.595138888886</v>
      </c>
      <c r="N62" s="73">
        <v>45888.703472222223</v>
      </c>
      <c r="O62" s="63"/>
      <c r="P62" s="74" t="s">
        <v>86</v>
      </c>
      <c r="Q62" s="72" t="s">
        <v>86</v>
      </c>
      <c r="R62" s="75" t="s">
        <v>87</v>
      </c>
      <c r="S62" s="75" t="s">
        <v>186</v>
      </c>
      <c r="T62" s="72" t="s">
        <v>113</v>
      </c>
      <c r="U62" s="72" t="s">
        <v>114</v>
      </c>
      <c r="V62" s="74" t="s">
        <v>469</v>
      </c>
      <c r="W62" s="72" t="s">
        <v>102</v>
      </c>
      <c r="X62" s="72" t="s">
        <v>470</v>
      </c>
      <c r="Y62" s="72" t="s">
        <v>104</v>
      </c>
      <c r="Z62" s="72" t="str">
        <f>VLOOKUP(D62,TIPOLOGIAS!A:F,5,0)</f>
        <v>TERRESTRE</v>
      </c>
      <c r="AA62" s="72" t="s">
        <v>471</v>
      </c>
      <c r="AB62" s="76">
        <v>2</v>
      </c>
      <c r="AC62" s="77">
        <f>IF(AND(W62="SOPORTE_TELEFÓNICO",OR(U62="SIN CONTACTO CON EL CB",U62="NÚMEROS DE CONTACTO ERRADOS")),0,IF(W62="SOPORTE_TELEFÓNICO",'BASE DE LIQUIDACION 2025'!$B$9,IF(Y62="TIPO I",'BASE DE LIQUIDACION 2025'!$C$3,IF(Y62="TIPO II",'BASE DE LIQUIDACION 2025'!$C$4,IF(Y62="TIPO III",'BASE DE LIQUIDACION 2025'!$C$5,'BASE DE LIQUIDACION 2025'!$C$6)))))</f>
        <v>44559.563999999998</v>
      </c>
      <c r="AD62" s="77">
        <f>IF(W62="SOPORTE_TELEFÓNICO",AC62,CIERRES!AB62*CIERRES!AC62)</f>
        <v>89119.127999999997</v>
      </c>
    </row>
    <row r="63" spans="1:30" s="64" customFormat="1" ht="13.15">
      <c r="A63" s="72" t="s">
        <v>95</v>
      </c>
      <c r="B63" s="72" t="str">
        <f>VLOOKUP(A63,'CENTRO DE COSTOS'!A:D,4,FALSE)</f>
        <v>DIEGO FERNANDO HENAO CARDONA</v>
      </c>
      <c r="C63" s="72" t="str">
        <f>VLOOKUP(A63,'CENTRO DE COSTOS'!A:C,2,FALSE)</f>
        <v>0004-0003</v>
      </c>
      <c r="D63" s="72">
        <v>19548</v>
      </c>
      <c r="E63" s="72" t="s">
        <v>472</v>
      </c>
      <c r="F63" s="72">
        <v>54135</v>
      </c>
      <c r="G63" s="72" t="s">
        <v>80</v>
      </c>
      <c r="H63" s="72" t="s">
        <v>473</v>
      </c>
      <c r="I63" s="72" t="s">
        <v>474</v>
      </c>
      <c r="J63" s="72" t="s">
        <v>475</v>
      </c>
      <c r="K63" s="72" t="s">
        <v>84</v>
      </c>
      <c r="L63" s="72" t="s">
        <v>476</v>
      </c>
      <c r="M63" s="73">
        <v>45883.479166666664</v>
      </c>
      <c r="N63" s="73">
        <v>45889.320833333331</v>
      </c>
      <c r="O63" s="63"/>
      <c r="P63" s="74" t="s">
        <v>86</v>
      </c>
      <c r="Q63" s="72" t="s">
        <v>86</v>
      </c>
      <c r="R63" s="75" t="s">
        <v>100</v>
      </c>
      <c r="S63" s="75" t="s">
        <v>100</v>
      </c>
      <c r="T63" s="72" t="s">
        <v>113</v>
      </c>
      <c r="U63" s="72" t="s">
        <v>114</v>
      </c>
      <c r="V63" s="74" t="s">
        <v>477</v>
      </c>
      <c r="W63" s="72" t="s">
        <v>102</v>
      </c>
      <c r="X63" s="72">
        <v>0</v>
      </c>
      <c r="Y63" s="72" t="s">
        <v>116</v>
      </c>
      <c r="Z63" s="72" t="str">
        <f>VLOOKUP(D63,TIPOLOGIAS!A:F,5,0)</f>
        <v>TERRESTRE</v>
      </c>
      <c r="AA63" s="72" t="s">
        <v>478</v>
      </c>
      <c r="AB63" s="76">
        <v>1</v>
      </c>
      <c r="AC63" s="77">
        <f>IF(AND(W63="SOPORTE_TELEFÓNICO",OR(U63="SIN CONTACTO CON EL CB",U63="NÚMEROS DE CONTACTO ERRADOS")),0,IF(W63="SOPORTE_TELEFÓNICO",'BASE DE LIQUIDACION 2025'!$B$9,IF(Y63="TIPO I",'BASE DE LIQUIDACION 2025'!$C$3,IF(Y63="TIPO II",'BASE DE LIQUIDACION 2025'!$C$4,IF(Y63="TIPO III",'BASE DE LIQUIDACION 2025'!$C$5,'BASE DE LIQUIDACION 2025'!$C$6)))))</f>
        <v>222904.07200000001</v>
      </c>
      <c r="AD63" s="77">
        <f>IF(W63="SOPORTE_TELEFÓNICO",AC63,CIERRES!AB63*CIERRES!AC63)</f>
        <v>222904.07200000001</v>
      </c>
    </row>
    <row r="64" spans="1:30" s="64" customFormat="1" ht="13.15">
      <c r="A64" s="72" t="s">
        <v>78</v>
      </c>
      <c r="B64" s="72" t="str">
        <f>VLOOKUP(A64,'CENTRO DE COSTOS'!A:D,4,FALSE)</f>
        <v>JUAN SEBASTIÁN RÍOS CASTRILLÓN</v>
      </c>
      <c r="C64" s="72" t="str">
        <f>VLOOKUP(A64,'CENTRO DE COSTOS'!A:C,2,FALSE)</f>
        <v>0004-0005</v>
      </c>
      <c r="D64" s="72">
        <v>27810</v>
      </c>
      <c r="E64" s="72" t="s">
        <v>479</v>
      </c>
      <c r="F64" s="72">
        <v>38240</v>
      </c>
      <c r="G64" s="72" t="s">
        <v>80</v>
      </c>
      <c r="H64" s="72" t="s">
        <v>81</v>
      </c>
      <c r="I64" s="72" t="s">
        <v>480</v>
      </c>
      <c r="J64" s="72" t="s">
        <v>481</v>
      </c>
      <c r="K64" s="72" t="s">
        <v>84</v>
      </c>
      <c r="L64" s="72" t="s">
        <v>482</v>
      </c>
      <c r="M64" s="73">
        <v>45884.527777777781</v>
      </c>
      <c r="N64" s="73">
        <v>45889.44027777778</v>
      </c>
      <c r="O64" s="63"/>
      <c r="P64" s="74" t="s">
        <v>86</v>
      </c>
      <c r="Q64" s="72" t="s">
        <v>86</v>
      </c>
      <c r="R64" s="75" t="s">
        <v>100</v>
      </c>
      <c r="S64" s="75" t="s">
        <v>100</v>
      </c>
      <c r="T64" s="72" t="s">
        <v>113</v>
      </c>
      <c r="U64" s="72" t="s">
        <v>114</v>
      </c>
      <c r="V64" s="74" t="s">
        <v>483</v>
      </c>
      <c r="W64" s="72" t="s">
        <v>102</v>
      </c>
      <c r="X64" s="72" t="s">
        <v>484</v>
      </c>
      <c r="Y64" s="72" t="s">
        <v>176</v>
      </c>
      <c r="Z64" s="72" t="str">
        <f>VLOOKUP(D64,TIPOLOGIAS!A:F,5,0)</f>
        <v>TERRESTRE</v>
      </c>
      <c r="AA64" s="72" t="s">
        <v>485</v>
      </c>
      <c r="AB64" s="76">
        <v>1</v>
      </c>
      <c r="AC64" s="77">
        <f>IF(AND(W64="SOPORTE_TELEFÓNICO",OR(U64="SIN CONTACTO CON EL CB",U64="NÚMEROS DE CONTACTO ERRADOS")),0,IF(W64="SOPORTE_TELEFÓNICO",'BASE DE LIQUIDACION 2025'!$B$9,IF(Y64="TIPO I",'BASE DE LIQUIDACION 2025'!$C$3,IF(Y64="TIPO II",'BASE DE LIQUIDACION 2025'!$C$4,IF(Y64="TIPO III",'BASE DE LIQUIDACION 2025'!$C$5,'BASE DE LIQUIDACION 2025'!$C$6)))))</f>
        <v>464809.36800000002</v>
      </c>
      <c r="AD64" s="77">
        <f>IF(W64="SOPORTE_TELEFÓNICO",AC64,CIERRES!AB64*CIERRES!AC64)</f>
        <v>464809.36800000002</v>
      </c>
    </row>
    <row r="65" spans="1:30" s="64" customFormat="1" ht="13.15">
      <c r="A65" s="72" t="s">
        <v>78</v>
      </c>
      <c r="B65" s="72" t="str">
        <f>VLOOKUP(A65,'CENTRO DE COSTOS'!A:D,4,FALSE)</f>
        <v>JUAN SEBASTIÁN RÍOS CASTRILLÓN</v>
      </c>
      <c r="C65" s="72" t="str">
        <f>VLOOKUP(A65,'CENTRO DE COSTOS'!A:C,2,FALSE)</f>
        <v>0004-0005</v>
      </c>
      <c r="D65" s="72">
        <v>27077</v>
      </c>
      <c r="E65" s="72" t="s">
        <v>486</v>
      </c>
      <c r="F65" s="72">
        <v>50248</v>
      </c>
      <c r="G65" s="72" t="s">
        <v>80</v>
      </c>
      <c r="H65" s="72" t="s">
        <v>81</v>
      </c>
      <c r="I65" s="72" t="s">
        <v>487</v>
      </c>
      <c r="J65" s="72" t="s">
        <v>488</v>
      </c>
      <c r="K65" s="72" t="s">
        <v>84</v>
      </c>
      <c r="L65" s="72" t="s">
        <v>489</v>
      </c>
      <c r="M65" s="73">
        <v>45881.333333333336</v>
      </c>
      <c r="N65" s="73">
        <v>45889.46597222222</v>
      </c>
      <c r="O65" s="63"/>
      <c r="P65" s="74" t="s">
        <v>86</v>
      </c>
      <c r="Q65" s="72" t="s">
        <v>112</v>
      </c>
      <c r="R65" s="75" t="s">
        <v>100</v>
      </c>
      <c r="S65" s="75" t="s">
        <v>100</v>
      </c>
      <c r="T65" s="72" t="s">
        <v>89</v>
      </c>
      <c r="U65" s="72" t="s">
        <v>90</v>
      </c>
      <c r="V65" s="74" t="s">
        <v>490</v>
      </c>
      <c r="W65" s="72" t="s">
        <v>102</v>
      </c>
      <c r="X65" s="72" t="s">
        <v>491</v>
      </c>
      <c r="Y65" s="72" t="s">
        <v>93</v>
      </c>
      <c r="Z65" s="72" t="str">
        <f>VLOOKUP(D65,TIPOLOGIAS!A:F,5,0)</f>
        <v>AEREO</v>
      </c>
      <c r="AA65" s="72" t="s">
        <v>485</v>
      </c>
      <c r="AB65" s="76">
        <v>1</v>
      </c>
      <c r="AC65" s="77">
        <f>IF(AND(W65="SOPORTE_TELEFÓNICO",OR(U65="SIN CONTACTO CON EL CB",U65="NÚMEROS DE CONTACTO ERRADOS")),0,IF(W65="SOPORTE_TELEFÓNICO",'BASE DE LIQUIDACION 2025'!$B$9,IF(Y65="TIPO I",'BASE DE LIQUIDACION 2025'!$C$3,IF(Y65="TIPO II",'BASE DE LIQUIDACION 2025'!$C$4,IF(Y65="TIPO III",'BASE DE LIQUIDACION 2025'!$C$5,'BASE DE LIQUIDACION 2025'!$C$6)))))</f>
        <v>464809.36800000002</v>
      </c>
      <c r="AD65" s="77">
        <f>IF(W65="SOPORTE_TELEFÓNICO",AC65,CIERRES!AB65*CIERRES!AC65)</f>
        <v>464809.36800000002</v>
      </c>
    </row>
    <row r="66" spans="1:30" s="64" customFormat="1" ht="13.15">
      <c r="A66" s="72" t="s">
        <v>127</v>
      </c>
      <c r="B66" s="72" t="str">
        <f>VLOOKUP(A66,'CENTRO DE COSTOS'!A:D,4,FALSE)</f>
        <v>JUAN SEBASTIÁN RÍOS CASTRILLÓN</v>
      </c>
      <c r="C66" s="72" t="str">
        <f>VLOOKUP(A66,'CENTRO DE COSTOS'!A:C,2,FALSE)</f>
        <v>0004-0005</v>
      </c>
      <c r="D66" s="72">
        <v>5088</v>
      </c>
      <c r="E66" s="72" t="s">
        <v>492</v>
      </c>
      <c r="F66" s="72">
        <v>59809</v>
      </c>
      <c r="G66" s="72" t="s">
        <v>80</v>
      </c>
      <c r="H66" s="72" t="s">
        <v>129</v>
      </c>
      <c r="I66" s="72" t="s">
        <v>446</v>
      </c>
      <c r="J66" s="72" t="s">
        <v>493</v>
      </c>
      <c r="K66" s="72" t="s">
        <v>84</v>
      </c>
      <c r="L66" s="72" t="s">
        <v>494</v>
      </c>
      <c r="M66" s="73">
        <v>45884.527777777781</v>
      </c>
      <c r="N66" s="73">
        <v>45890.379166666666</v>
      </c>
      <c r="O66" s="63"/>
      <c r="P66" s="74" t="s">
        <v>86</v>
      </c>
      <c r="Q66" s="72" t="s">
        <v>86</v>
      </c>
      <c r="R66" s="75" t="s">
        <v>100</v>
      </c>
      <c r="S66" s="75" t="s">
        <v>100</v>
      </c>
      <c r="T66" s="72" t="s">
        <v>113</v>
      </c>
      <c r="U66" s="72" t="s">
        <v>114</v>
      </c>
      <c r="V66" s="74" t="s">
        <v>495</v>
      </c>
      <c r="W66" s="72" t="s">
        <v>102</v>
      </c>
      <c r="X66" s="72">
        <v>0</v>
      </c>
      <c r="Y66" s="72" t="s">
        <v>104</v>
      </c>
      <c r="Z66" s="72" t="str">
        <f>VLOOKUP(D66,TIPOLOGIAS!A:F,5,0)</f>
        <v>TERRESTRE</v>
      </c>
      <c r="AA66" s="72" t="s">
        <v>404</v>
      </c>
      <c r="AB66" s="76">
        <v>1</v>
      </c>
      <c r="AC66" s="77">
        <f>IF(AND(W66="SOPORTE_TELEFÓNICO",OR(U66="SIN CONTACTO CON EL CB",U66="NÚMEROS DE CONTACTO ERRADOS")),0,IF(W66="SOPORTE_TELEFÓNICO",'BASE DE LIQUIDACION 2025'!$B$9,IF(Y66="TIPO I",'BASE DE LIQUIDACION 2025'!$C$3,IF(Y66="TIPO II",'BASE DE LIQUIDACION 2025'!$C$4,IF(Y66="TIPO III",'BASE DE LIQUIDACION 2025'!$C$5,'BASE DE LIQUIDACION 2025'!$C$6)))))</f>
        <v>44559.563999999998</v>
      </c>
      <c r="AD66" s="77">
        <f>IF(W66="SOPORTE_TELEFÓNICO",AC66,CIERRES!AB66*CIERRES!AC66)</f>
        <v>44559.563999999998</v>
      </c>
    </row>
    <row r="67" spans="1:30" s="64" customFormat="1" ht="13.15">
      <c r="A67" s="72" t="s">
        <v>391</v>
      </c>
      <c r="B67" s="72" t="str">
        <f>VLOOKUP(A67,'CENTRO DE COSTOS'!A:D,4,FALSE)</f>
        <v>JOSE MAURICIO HERNANDEZ ROJAS</v>
      </c>
      <c r="C67" s="72" t="str">
        <f>VLOOKUP(A67,'CENTRO DE COSTOS'!A:C,2,FALSE)</f>
        <v>0004-0001</v>
      </c>
      <c r="D67" s="72">
        <v>20001</v>
      </c>
      <c r="E67" s="72" t="s">
        <v>496</v>
      </c>
      <c r="F67" s="72">
        <v>75703</v>
      </c>
      <c r="G67" s="72" t="s">
        <v>80</v>
      </c>
      <c r="H67" s="72" t="s">
        <v>393</v>
      </c>
      <c r="I67" s="72" t="s">
        <v>391</v>
      </c>
      <c r="J67" s="72" t="s">
        <v>497</v>
      </c>
      <c r="K67" s="72" t="s">
        <v>84</v>
      </c>
      <c r="L67" s="72" t="s">
        <v>498</v>
      </c>
      <c r="M67" s="73">
        <v>45888.595138888886</v>
      </c>
      <c r="N67" s="73">
        <v>45890.404166666667</v>
      </c>
      <c r="O67" s="63"/>
      <c r="P67" s="74" t="s">
        <v>86</v>
      </c>
      <c r="Q67" s="72" t="s">
        <v>86</v>
      </c>
      <c r="R67" s="75" t="s">
        <v>87</v>
      </c>
      <c r="S67" s="75" t="s">
        <v>88</v>
      </c>
      <c r="T67" s="72" t="s">
        <v>113</v>
      </c>
      <c r="U67" s="72" t="s">
        <v>114</v>
      </c>
      <c r="V67" s="74" t="s">
        <v>499</v>
      </c>
      <c r="W67" s="72" t="s">
        <v>102</v>
      </c>
      <c r="X67" s="72" t="s">
        <v>500</v>
      </c>
      <c r="Y67" s="72" t="s">
        <v>104</v>
      </c>
      <c r="Z67" s="72" t="str">
        <f>VLOOKUP(D67,TIPOLOGIAS!A:F,5,0)</f>
        <v>TERRESTRE</v>
      </c>
      <c r="AA67" s="72" t="s">
        <v>501</v>
      </c>
      <c r="AB67" s="76">
        <v>1</v>
      </c>
      <c r="AC67" s="77">
        <f>IF(AND(W67="SOPORTE_TELEFÓNICO",OR(U67="SIN CONTACTO CON EL CB",U67="NÚMEROS DE CONTACTO ERRADOS")),0,IF(W67="SOPORTE_TELEFÓNICO",'BASE DE LIQUIDACION 2025'!$B$9,IF(Y67="TIPO I",'BASE DE LIQUIDACION 2025'!$C$3,IF(Y67="TIPO II",'BASE DE LIQUIDACION 2025'!$C$4,IF(Y67="TIPO III",'BASE DE LIQUIDACION 2025'!$C$5,'BASE DE LIQUIDACION 2025'!$C$6)))))</f>
        <v>44559.563999999998</v>
      </c>
      <c r="AD67" s="77">
        <f>IF(W67="SOPORTE_TELEFÓNICO",AC67,CIERRES!AB67*CIERRES!AC67)</f>
        <v>44559.563999999998</v>
      </c>
    </row>
    <row r="68" spans="1:30" s="64" customFormat="1" ht="13.15">
      <c r="A68" s="72" t="s">
        <v>239</v>
      </c>
      <c r="B68" s="72" t="str">
        <f>VLOOKUP(A68,'CENTRO DE COSTOS'!A:D,4,FALSE)</f>
        <v>DIEGO FERNANDO HENAO CARDONA</v>
      </c>
      <c r="C68" s="72" t="str">
        <f>VLOOKUP(A68,'CENTRO DE COSTOS'!A:C,2,FALSE)</f>
        <v>0004-0003</v>
      </c>
      <c r="D68" s="72">
        <v>52835</v>
      </c>
      <c r="E68" s="72" t="s">
        <v>502</v>
      </c>
      <c r="F68" s="72">
        <v>52418</v>
      </c>
      <c r="G68" s="72" t="s">
        <v>80</v>
      </c>
      <c r="H68" s="72" t="s">
        <v>241</v>
      </c>
      <c r="I68" s="72" t="s">
        <v>503</v>
      </c>
      <c r="J68" s="72" t="s">
        <v>504</v>
      </c>
      <c r="K68" s="72" t="s">
        <v>84</v>
      </c>
      <c r="L68" s="72" t="s">
        <v>505</v>
      </c>
      <c r="M68" s="73">
        <v>45889.583333333336</v>
      </c>
      <c r="N68" s="73">
        <v>45890.583333333336</v>
      </c>
      <c r="O68" s="63"/>
      <c r="P68" s="74" t="s">
        <v>86</v>
      </c>
      <c r="Q68" s="72" t="s">
        <v>86</v>
      </c>
      <c r="R68" s="75" t="s">
        <v>100</v>
      </c>
      <c r="S68" s="75" t="s">
        <v>100</v>
      </c>
      <c r="T68" s="72" t="s">
        <v>89</v>
      </c>
      <c r="U68" s="72" t="s">
        <v>90</v>
      </c>
      <c r="V68" s="74" t="s">
        <v>506</v>
      </c>
      <c r="W68" s="72" t="s">
        <v>102</v>
      </c>
      <c r="X68" s="72" t="s">
        <v>363</v>
      </c>
      <c r="Y68" s="72" t="s">
        <v>176</v>
      </c>
      <c r="Z68" s="72" t="str">
        <f>VLOOKUP(D68,TIPOLOGIAS!A:F,5,0)</f>
        <v>TERRESTRE</v>
      </c>
      <c r="AA68" s="72" t="s">
        <v>390</v>
      </c>
      <c r="AB68" s="76">
        <v>1</v>
      </c>
      <c r="AC68" s="77">
        <f>IF(AND(W68="SOPORTE_TELEFÓNICO",OR(U68="SIN CONTACTO CON EL CB",U68="NÚMEROS DE CONTACTO ERRADOS")),0,IF(W68="SOPORTE_TELEFÓNICO",'BASE DE LIQUIDACION 2025'!$B$9,IF(Y68="TIPO I",'BASE DE LIQUIDACION 2025'!$C$3,IF(Y68="TIPO II",'BASE DE LIQUIDACION 2025'!$C$4,IF(Y68="TIPO III",'BASE DE LIQUIDACION 2025'!$C$5,'BASE DE LIQUIDACION 2025'!$C$6)))))</f>
        <v>464809.36800000002</v>
      </c>
      <c r="AD68" s="77">
        <f>IF(W68="SOPORTE_TELEFÓNICO",AC68,CIERRES!AB68*CIERRES!AC68)</f>
        <v>464809.36800000002</v>
      </c>
    </row>
    <row r="69" spans="1:30" s="64" customFormat="1" ht="13.15">
      <c r="A69" s="72" t="s">
        <v>138</v>
      </c>
      <c r="B69" s="72" t="str">
        <f>VLOOKUP(A69,'CENTRO DE COSTOS'!A:D,4,FALSE)</f>
        <v>WILLIAM ASDRUBAL ROZO ROZO</v>
      </c>
      <c r="C69" s="72" t="str">
        <f>VLOOKUP(A69,'CENTRO DE COSTOS'!A:C,2,FALSE)</f>
        <v>0004-0004</v>
      </c>
      <c r="D69" s="72">
        <v>25740</v>
      </c>
      <c r="E69" s="72" t="s">
        <v>507</v>
      </c>
      <c r="F69" s="72">
        <v>48232</v>
      </c>
      <c r="G69" s="72" t="s">
        <v>80</v>
      </c>
      <c r="H69" s="72" t="s">
        <v>140</v>
      </c>
      <c r="I69" s="72" t="s">
        <v>508</v>
      </c>
      <c r="J69" s="72" t="s">
        <v>509</v>
      </c>
      <c r="K69" s="72" t="s">
        <v>84</v>
      </c>
      <c r="L69" s="72" t="s">
        <v>510</v>
      </c>
      <c r="M69" s="73">
        <v>45888.595138888886</v>
      </c>
      <c r="N69" s="73">
        <v>45890.600694444445</v>
      </c>
      <c r="O69" s="63"/>
      <c r="P69" s="74" t="s">
        <v>86</v>
      </c>
      <c r="Q69" s="72" t="s">
        <v>86</v>
      </c>
      <c r="R69" s="75" t="s">
        <v>87</v>
      </c>
      <c r="S69" s="75" t="s">
        <v>88</v>
      </c>
      <c r="T69" s="72" t="s">
        <v>113</v>
      </c>
      <c r="U69" s="72" t="s">
        <v>114</v>
      </c>
      <c r="V69" s="74" t="s">
        <v>511</v>
      </c>
      <c r="W69" s="72" t="s">
        <v>102</v>
      </c>
      <c r="X69" s="72">
        <v>0</v>
      </c>
      <c r="Y69" s="72" t="s">
        <v>125</v>
      </c>
      <c r="Z69" s="72" t="str">
        <f>VLOOKUP(D69,TIPOLOGIAS!A:F,5,0)</f>
        <v>TERRESTRE</v>
      </c>
      <c r="AA69" s="72" t="s">
        <v>144</v>
      </c>
      <c r="AB69" s="76">
        <v>1</v>
      </c>
      <c r="AC69" s="77">
        <f>IF(AND(W69="SOPORTE_TELEFÓNICO",OR(U69="SIN CONTACTO CON EL CB",U69="NÚMEROS DE CONTACTO ERRADOS")),0,IF(W69="SOPORTE_TELEFÓNICO",'BASE DE LIQUIDACION 2025'!$B$9,IF(Y69="TIPO I",'BASE DE LIQUIDACION 2025'!$C$3,IF(Y69="TIPO II",'BASE DE LIQUIDACION 2025'!$C$4,IF(Y69="TIPO III",'BASE DE LIQUIDACION 2025'!$C$5,'BASE DE LIQUIDACION 2025'!$C$6)))))</f>
        <v>134410.88400000002</v>
      </c>
      <c r="AD69" s="77">
        <f>IF(W69="SOPORTE_TELEFÓNICO",AC69,CIERRES!AB69*CIERRES!AC69)</f>
        <v>134410.88400000002</v>
      </c>
    </row>
    <row r="70" spans="1:30" s="64" customFormat="1" ht="13.15">
      <c r="A70" s="72" t="s">
        <v>169</v>
      </c>
      <c r="B70" s="72" t="str">
        <f>VLOOKUP(A70,'CENTRO DE COSTOS'!A:D,4,FALSE)</f>
        <v>MIGUEL JULIÁN HERNÁNDEZ GUARÍN</v>
      </c>
      <c r="C70" s="72" t="str">
        <f>VLOOKUP(A70,'CENTRO DE COSTOS'!A:C,2,FALSE)</f>
        <v>0004-0008</v>
      </c>
      <c r="D70" s="72">
        <v>68001</v>
      </c>
      <c r="E70" s="72" t="s">
        <v>512</v>
      </c>
      <c r="F70" s="72">
        <v>31325</v>
      </c>
      <c r="G70" s="72" t="s">
        <v>80</v>
      </c>
      <c r="H70" s="72" t="s">
        <v>171</v>
      </c>
      <c r="I70" s="72" t="s">
        <v>169</v>
      </c>
      <c r="J70" s="72" t="s">
        <v>513</v>
      </c>
      <c r="K70" s="72" t="s">
        <v>84</v>
      </c>
      <c r="L70" s="72" t="s">
        <v>514</v>
      </c>
      <c r="M70" s="73">
        <v>45888.651388888888</v>
      </c>
      <c r="N70" s="73">
        <v>45891.327777777777</v>
      </c>
      <c r="O70" s="63"/>
      <c r="P70" s="74" t="s">
        <v>86</v>
      </c>
      <c r="Q70" s="72" t="s">
        <v>86</v>
      </c>
      <c r="R70" s="75" t="s">
        <v>100</v>
      </c>
      <c r="S70" s="75" t="s">
        <v>100</v>
      </c>
      <c r="T70" s="72" t="s">
        <v>113</v>
      </c>
      <c r="U70" s="72" t="s">
        <v>114</v>
      </c>
      <c r="V70" s="74" t="s">
        <v>515</v>
      </c>
      <c r="W70" s="72" t="s">
        <v>102</v>
      </c>
      <c r="X70" s="72">
        <v>11115906</v>
      </c>
      <c r="Y70" s="72" t="s">
        <v>104</v>
      </c>
      <c r="Z70" s="72" t="str">
        <f>VLOOKUP(D70,TIPOLOGIAS!A:F,5,0)</f>
        <v>TERRESTRE</v>
      </c>
      <c r="AA70" s="72" t="s">
        <v>516</v>
      </c>
      <c r="AB70" s="76">
        <v>1</v>
      </c>
      <c r="AC70" s="77">
        <f>IF(AND(W70="SOPORTE_TELEFÓNICO",OR(U70="SIN CONTACTO CON EL CB",U70="NÚMEROS DE CONTACTO ERRADOS")),0,IF(W70="SOPORTE_TELEFÓNICO",'BASE DE LIQUIDACION 2025'!$B$9,IF(Y70="TIPO I",'BASE DE LIQUIDACION 2025'!$C$3,IF(Y70="TIPO II",'BASE DE LIQUIDACION 2025'!$C$4,IF(Y70="TIPO III",'BASE DE LIQUIDACION 2025'!$C$5,'BASE DE LIQUIDACION 2025'!$C$6)))))</f>
        <v>44559.563999999998</v>
      </c>
      <c r="AD70" s="77">
        <f>IF(W70="SOPORTE_TELEFÓNICO",AC70,CIERRES!AB70*CIERRES!AC70)</f>
        <v>44559.563999999998</v>
      </c>
    </row>
    <row r="71" spans="1:30" s="64" customFormat="1" ht="13.15">
      <c r="A71" s="72" t="s">
        <v>239</v>
      </c>
      <c r="B71" s="72" t="str">
        <f>VLOOKUP(A71,'CENTRO DE COSTOS'!A:D,4,FALSE)</f>
        <v>DIEGO FERNANDO HENAO CARDONA</v>
      </c>
      <c r="C71" s="72" t="str">
        <f>VLOOKUP(A71,'CENTRO DE COSTOS'!A:C,2,FALSE)</f>
        <v>0004-0003</v>
      </c>
      <c r="D71" s="72">
        <v>86569</v>
      </c>
      <c r="E71" s="72" t="s">
        <v>517</v>
      </c>
      <c r="F71" s="72">
        <v>55741</v>
      </c>
      <c r="G71" s="72" t="s">
        <v>80</v>
      </c>
      <c r="H71" s="72" t="s">
        <v>453</v>
      </c>
      <c r="I71" s="72" t="s">
        <v>518</v>
      </c>
      <c r="J71" s="72" t="s">
        <v>519</v>
      </c>
      <c r="K71" s="72" t="s">
        <v>84</v>
      </c>
      <c r="L71" s="72" t="s">
        <v>520</v>
      </c>
      <c r="M71" s="73">
        <v>45884.527777777781</v>
      </c>
      <c r="N71" s="73">
        <v>45891.32916666667</v>
      </c>
      <c r="O71" s="63"/>
      <c r="P71" s="74" t="s">
        <v>86</v>
      </c>
      <c r="Q71" s="72" t="s">
        <v>112</v>
      </c>
      <c r="R71" s="75" t="s">
        <v>100</v>
      </c>
      <c r="S71" s="75" t="s">
        <v>100</v>
      </c>
      <c r="T71" s="72" t="s">
        <v>89</v>
      </c>
      <c r="U71" s="72" t="s">
        <v>90</v>
      </c>
      <c r="V71" s="74" t="s">
        <v>521</v>
      </c>
      <c r="W71" s="72" t="s">
        <v>102</v>
      </c>
      <c r="X71" s="72" t="s">
        <v>522</v>
      </c>
      <c r="Y71" s="72" t="s">
        <v>176</v>
      </c>
      <c r="Z71" s="72" t="str">
        <f>VLOOKUP(D71,TIPOLOGIAS!A:F,5,0)</f>
        <v>TERRESTRE</v>
      </c>
      <c r="AA71" s="72" t="s">
        <v>523</v>
      </c>
      <c r="AB71" s="76">
        <v>1</v>
      </c>
      <c r="AC71" s="77">
        <f>IF(AND(W71="SOPORTE_TELEFÓNICO",OR(U71="SIN CONTACTO CON EL CB",U71="NÚMEROS DE CONTACTO ERRADOS")),0,IF(W71="SOPORTE_TELEFÓNICO",'BASE DE LIQUIDACION 2025'!$B$9,IF(Y71="TIPO I",'BASE DE LIQUIDACION 2025'!$C$3,IF(Y71="TIPO II",'BASE DE LIQUIDACION 2025'!$C$4,IF(Y71="TIPO III",'BASE DE LIQUIDACION 2025'!$C$5,'BASE DE LIQUIDACION 2025'!$C$6)))))</f>
        <v>464809.36800000002</v>
      </c>
      <c r="AD71" s="77">
        <f>IF(W71="SOPORTE_TELEFÓNICO",AC71,CIERRES!AB71*CIERRES!AC71)</f>
        <v>464809.36800000002</v>
      </c>
    </row>
    <row r="72" spans="1:30" s="64" customFormat="1" ht="13.15">
      <c r="A72" s="72" t="s">
        <v>247</v>
      </c>
      <c r="B72" s="72" t="str">
        <f>VLOOKUP(A72,'CENTRO DE COSTOS'!A:D,4,FALSE)</f>
        <v>MIGUEL JULIÁN HERNÁNDEZ GUARÍN</v>
      </c>
      <c r="C72" s="72" t="str">
        <f>VLOOKUP(A72,'CENTRO DE COSTOS'!A:C,2,FALSE)</f>
        <v>0004-0008</v>
      </c>
      <c r="D72" s="72">
        <v>54810</v>
      </c>
      <c r="E72" s="72" t="s">
        <v>524</v>
      </c>
      <c r="F72" s="72">
        <v>76045</v>
      </c>
      <c r="G72" s="72" t="s">
        <v>80</v>
      </c>
      <c r="H72" s="72" t="s">
        <v>249</v>
      </c>
      <c r="I72" s="72" t="s">
        <v>525</v>
      </c>
      <c r="J72" s="72" t="s">
        <v>526</v>
      </c>
      <c r="K72" s="72" t="s">
        <v>84</v>
      </c>
      <c r="L72" s="72" t="s">
        <v>527</v>
      </c>
      <c r="M72" s="73">
        <v>45888.595138888886</v>
      </c>
      <c r="N72" s="73">
        <v>45891.383333333331</v>
      </c>
      <c r="O72" s="63"/>
      <c r="P72" s="74" t="s">
        <v>86</v>
      </c>
      <c r="Q72" s="72" t="s">
        <v>86</v>
      </c>
      <c r="R72" s="75" t="s">
        <v>87</v>
      </c>
      <c r="S72" s="75" t="s">
        <v>186</v>
      </c>
      <c r="T72" s="72" t="s">
        <v>89</v>
      </c>
      <c r="U72" s="72" t="s">
        <v>90</v>
      </c>
      <c r="V72" s="74" t="s">
        <v>528</v>
      </c>
      <c r="W72" s="72" t="s">
        <v>92</v>
      </c>
      <c r="X72" s="72">
        <v>0</v>
      </c>
      <c r="Y72" s="72" t="s">
        <v>93</v>
      </c>
      <c r="Z72" s="72" t="str">
        <f>VLOOKUP(D72,TIPOLOGIAS!A:F,5,0)</f>
        <v>TERRESTRE</v>
      </c>
      <c r="AA72" s="72" t="s">
        <v>529</v>
      </c>
      <c r="AB72" s="76">
        <v>0</v>
      </c>
      <c r="AC72" s="77">
        <f>IF(AND(W72="SOPORTE_TELEFÓNICO",OR(U72="SIN CONTACTO CON EL CB",U72="NÚMEROS DE CONTACTO ERRADOS")),0,IF(W72="SOPORTE_TELEFÓNICO",'BASE DE LIQUIDACION 2025'!$B$9,IF(Y72="TIPO I",'BASE DE LIQUIDACION 2025'!$C$3,IF(Y72="TIPO II",'BASE DE LIQUIDACION 2025'!$C$4,IF(Y72="TIPO III",'BASE DE LIQUIDACION 2025'!$C$5,'BASE DE LIQUIDACION 2025'!$C$6)))))</f>
        <v>37904.612000000001</v>
      </c>
      <c r="AD72" s="77">
        <f>IF(W72="SOPORTE_TELEFÓNICO",AC72,CIERRES!AB72*CIERRES!AC72)</f>
        <v>37904.612000000001</v>
      </c>
    </row>
    <row r="73" spans="1:30" s="64" customFormat="1" ht="13.15">
      <c r="A73" s="72" t="s">
        <v>530</v>
      </c>
      <c r="B73" s="72" t="str">
        <f>VLOOKUP(A73,'CENTRO DE COSTOS'!A:D,4,FALSE)</f>
        <v>DIEGO FERNANDO HENAO CARDONA</v>
      </c>
      <c r="C73" s="72" t="str">
        <f>VLOOKUP(A73,'CENTRO DE COSTOS'!A:C,2,FALSE)</f>
        <v>0004-0002</v>
      </c>
      <c r="D73" s="72">
        <v>63130</v>
      </c>
      <c r="E73" s="72" t="s">
        <v>531</v>
      </c>
      <c r="F73" s="72">
        <v>68002</v>
      </c>
      <c r="G73" s="72" t="s">
        <v>80</v>
      </c>
      <c r="H73" s="72" t="s">
        <v>532</v>
      </c>
      <c r="I73" s="72" t="s">
        <v>533</v>
      </c>
      <c r="J73" s="72" t="s">
        <v>534</v>
      </c>
      <c r="K73" s="72" t="s">
        <v>84</v>
      </c>
      <c r="L73" s="72" t="s">
        <v>535</v>
      </c>
      <c r="M73" s="73">
        <v>45891.333333333336</v>
      </c>
      <c r="N73" s="73">
        <v>45891.418055555558</v>
      </c>
      <c r="O73" s="63"/>
      <c r="P73" s="74" t="s">
        <v>86</v>
      </c>
      <c r="Q73" s="72" t="s">
        <v>112</v>
      </c>
      <c r="R73" s="75" t="s">
        <v>100</v>
      </c>
      <c r="S73" s="75" t="s">
        <v>100</v>
      </c>
      <c r="T73" s="72" t="s">
        <v>113</v>
      </c>
      <c r="U73" s="72" t="s">
        <v>114</v>
      </c>
      <c r="V73" s="74" t="s">
        <v>536</v>
      </c>
      <c r="W73" s="72" t="s">
        <v>102</v>
      </c>
      <c r="X73" s="72" t="s">
        <v>537</v>
      </c>
      <c r="Y73" s="72" t="s">
        <v>125</v>
      </c>
      <c r="Z73" s="72" t="str">
        <f>VLOOKUP(D73,TIPOLOGIAS!A:F,5,0)</f>
        <v>TERRESTRE</v>
      </c>
      <c r="AA73" s="72" t="s">
        <v>538</v>
      </c>
      <c r="AB73" s="76">
        <v>1</v>
      </c>
      <c r="AC73" s="77">
        <f>IF(AND(W73="SOPORTE_TELEFÓNICO",OR(U73="SIN CONTACTO CON EL CB",U73="NÚMEROS DE CONTACTO ERRADOS")),0,IF(W73="SOPORTE_TELEFÓNICO",'BASE DE LIQUIDACION 2025'!$B$9,IF(Y73="TIPO I",'BASE DE LIQUIDACION 2025'!$C$3,IF(Y73="TIPO II",'BASE DE LIQUIDACION 2025'!$C$4,IF(Y73="TIPO III",'BASE DE LIQUIDACION 2025'!$C$5,'BASE DE LIQUIDACION 2025'!$C$6)))))</f>
        <v>134410.88400000002</v>
      </c>
      <c r="AD73" s="77">
        <f>IF(W73="SOPORTE_TELEFÓNICO",AC73,CIERRES!AB73*CIERRES!AC73)</f>
        <v>134410.88400000002</v>
      </c>
    </row>
    <row r="74" spans="1:30" s="64" customFormat="1" ht="13.15">
      <c r="A74" s="72" t="s">
        <v>127</v>
      </c>
      <c r="B74" s="72" t="str">
        <f>VLOOKUP(A74,'CENTRO DE COSTOS'!A:D,4,FALSE)</f>
        <v>JUAN SEBASTIÁN RÍOS CASTRILLÓN</v>
      </c>
      <c r="C74" s="72" t="str">
        <f>VLOOKUP(A74,'CENTRO DE COSTOS'!A:C,2,FALSE)</f>
        <v>0004-0005</v>
      </c>
      <c r="D74" s="72">
        <v>5318</v>
      </c>
      <c r="E74" s="72" t="s">
        <v>539</v>
      </c>
      <c r="F74" s="72">
        <v>69664</v>
      </c>
      <c r="G74" s="72" t="s">
        <v>80</v>
      </c>
      <c r="H74" s="72" t="s">
        <v>129</v>
      </c>
      <c r="I74" s="72" t="s">
        <v>540</v>
      </c>
      <c r="J74" s="72" t="s">
        <v>541</v>
      </c>
      <c r="K74" s="72" t="s">
        <v>84</v>
      </c>
      <c r="L74" s="72" t="s">
        <v>542</v>
      </c>
      <c r="M74" s="73">
        <v>45888.595138888886</v>
      </c>
      <c r="N74" s="73">
        <v>45891.440972222219</v>
      </c>
      <c r="O74" s="63"/>
      <c r="P74" s="74" t="s">
        <v>86</v>
      </c>
      <c r="Q74" s="72" t="s">
        <v>86</v>
      </c>
      <c r="R74" s="75" t="s">
        <v>87</v>
      </c>
      <c r="S74" s="75" t="s">
        <v>186</v>
      </c>
      <c r="T74" s="72" t="s">
        <v>135</v>
      </c>
      <c r="U74" s="72" t="s">
        <v>136</v>
      </c>
      <c r="V74" s="74" t="s">
        <v>543</v>
      </c>
      <c r="W74" s="72" t="s">
        <v>102</v>
      </c>
      <c r="X74" s="72" t="s">
        <v>544</v>
      </c>
      <c r="Y74" s="72" t="s">
        <v>125</v>
      </c>
      <c r="Z74" s="72" t="str">
        <f>VLOOKUP(D74,TIPOLOGIAS!A:F,5,0)</f>
        <v>TERRESTRE</v>
      </c>
      <c r="AA74" s="72" t="s">
        <v>545</v>
      </c>
      <c r="AB74" s="76">
        <v>1</v>
      </c>
      <c r="AC74" s="77">
        <f>IF(AND(W74="SOPORTE_TELEFÓNICO",OR(U74="SIN CONTACTO CON EL CB",U74="NÚMEROS DE CONTACTO ERRADOS")),0,IF(W74="SOPORTE_TELEFÓNICO",'BASE DE LIQUIDACION 2025'!$B$9,IF(Y74="TIPO I",'BASE DE LIQUIDACION 2025'!$C$3,IF(Y74="TIPO II",'BASE DE LIQUIDACION 2025'!$C$4,IF(Y74="TIPO III",'BASE DE LIQUIDACION 2025'!$C$5,'BASE DE LIQUIDACION 2025'!$C$6)))))</f>
        <v>134410.88400000002</v>
      </c>
      <c r="AD74" s="77">
        <f>IF(W74="SOPORTE_TELEFÓNICO",AC74,CIERRES!AB74*CIERRES!AC74)</f>
        <v>134410.88400000002</v>
      </c>
    </row>
    <row r="75" spans="1:30" s="64" customFormat="1" ht="13.15">
      <c r="A75" s="72" t="s">
        <v>138</v>
      </c>
      <c r="B75" s="72" t="str">
        <f>VLOOKUP(A75,'CENTRO DE COSTOS'!A:D,4,FALSE)</f>
        <v>WILLIAM ASDRUBAL ROZO ROZO</v>
      </c>
      <c r="C75" s="72" t="str">
        <f>VLOOKUP(A75,'CENTRO DE COSTOS'!A:C,2,FALSE)</f>
        <v>0004-0004</v>
      </c>
      <c r="D75" s="72">
        <v>11001</v>
      </c>
      <c r="E75" s="72" t="s">
        <v>546</v>
      </c>
      <c r="F75" s="72">
        <v>23154</v>
      </c>
      <c r="G75" s="72" t="s">
        <v>80</v>
      </c>
      <c r="H75" s="72" t="s">
        <v>140</v>
      </c>
      <c r="I75" s="72" t="s">
        <v>138</v>
      </c>
      <c r="J75" s="72" t="s">
        <v>547</v>
      </c>
      <c r="K75" s="72" t="s">
        <v>84</v>
      </c>
      <c r="L75" s="72" t="s">
        <v>548</v>
      </c>
      <c r="M75" s="73">
        <v>45891.333333333336</v>
      </c>
      <c r="N75" s="73">
        <v>45891.574999999997</v>
      </c>
      <c r="O75" s="63"/>
      <c r="P75" s="74" t="s">
        <v>86</v>
      </c>
      <c r="Q75" s="72" t="s">
        <v>112</v>
      </c>
      <c r="R75" s="75" t="s">
        <v>100</v>
      </c>
      <c r="S75" s="75" t="s">
        <v>100</v>
      </c>
      <c r="T75" s="72" t="s">
        <v>89</v>
      </c>
      <c r="U75" s="72" t="s">
        <v>90</v>
      </c>
      <c r="V75" s="74" t="s">
        <v>549</v>
      </c>
      <c r="W75" s="72" t="s">
        <v>102</v>
      </c>
      <c r="X75" s="72" t="s">
        <v>550</v>
      </c>
      <c r="Y75" s="72" t="s">
        <v>104</v>
      </c>
      <c r="Z75" s="72" t="str">
        <f>VLOOKUP(D75,TIPOLOGIAS!A:F,5,0)</f>
        <v>TERRESTRE</v>
      </c>
      <c r="AA75" s="72" t="s">
        <v>551</v>
      </c>
      <c r="AB75" s="76">
        <v>1</v>
      </c>
      <c r="AC75" s="77">
        <f>IF(AND(W75="SOPORTE_TELEFÓNICO",OR(U75="SIN CONTACTO CON EL CB",U75="NÚMEROS DE CONTACTO ERRADOS")),0,IF(W75="SOPORTE_TELEFÓNICO",'BASE DE LIQUIDACION 2025'!$B$9,IF(Y75="TIPO I",'BASE DE LIQUIDACION 2025'!$C$3,IF(Y75="TIPO II",'BASE DE LIQUIDACION 2025'!$C$4,IF(Y75="TIPO III",'BASE DE LIQUIDACION 2025'!$C$5,'BASE DE LIQUIDACION 2025'!$C$6)))))</f>
        <v>44559.563999999998</v>
      </c>
      <c r="AD75" s="77">
        <f>IF(W75="SOPORTE_TELEFÓNICO",AC75,CIERRES!AB75*CIERRES!AC75)</f>
        <v>44559.563999999998</v>
      </c>
    </row>
    <row r="76" spans="1:30" s="64" customFormat="1" ht="13.15">
      <c r="A76" s="72" t="s">
        <v>118</v>
      </c>
      <c r="B76" s="72" t="str">
        <f>VLOOKUP(A76,'CENTRO DE COSTOS'!A:D,4,FALSE)</f>
        <v>KEVIN ALEXIS CORZO BUSTOS</v>
      </c>
      <c r="C76" s="72" t="str">
        <f>VLOOKUP(A76,'CENTRO DE COSTOS'!A:C,2,FALSE)</f>
        <v>0004-0007</v>
      </c>
      <c r="D76" s="72">
        <v>73001</v>
      </c>
      <c r="E76" s="72" t="s">
        <v>552</v>
      </c>
      <c r="F76" s="72">
        <v>63213</v>
      </c>
      <c r="G76" s="72" t="s">
        <v>80</v>
      </c>
      <c r="H76" s="72" t="s">
        <v>120</v>
      </c>
      <c r="I76" s="72" t="s">
        <v>118</v>
      </c>
      <c r="J76" s="72" t="s">
        <v>553</v>
      </c>
      <c r="K76" s="72" t="s">
        <v>84</v>
      </c>
      <c r="L76" s="72" t="s">
        <v>554</v>
      </c>
      <c r="M76" s="73">
        <v>45891.5625</v>
      </c>
      <c r="N76" s="73">
        <v>45892.569444444445</v>
      </c>
      <c r="O76" s="63"/>
      <c r="P76" s="74" t="s">
        <v>86</v>
      </c>
      <c r="Q76" s="72" t="s">
        <v>112</v>
      </c>
      <c r="R76" s="75" t="s">
        <v>87</v>
      </c>
      <c r="S76" s="75" t="s">
        <v>186</v>
      </c>
      <c r="T76" s="72" t="s">
        <v>113</v>
      </c>
      <c r="U76" s="72" t="s">
        <v>114</v>
      </c>
      <c r="V76" s="74" t="s">
        <v>555</v>
      </c>
      <c r="W76" s="72" t="s">
        <v>102</v>
      </c>
      <c r="X76" s="72">
        <v>0</v>
      </c>
      <c r="Y76" s="72" t="s">
        <v>104</v>
      </c>
      <c r="Z76" s="72" t="str">
        <f>VLOOKUP(D76,TIPOLOGIAS!A:F,5,0)</f>
        <v>TERRESTRE</v>
      </c>
      <c r="AA76" s="72" t="s">
        <v>556</v>
      </c>
      <c r="AB76" s="76">
        <v>1</v>
      </c>
      <c r="AC76" s="77">
        <f>IF(AND(W76="SOPORTE_TELEFÓNICO",OR(U76="SIN CONTACTO CON EL CB",U76="NÚMEROS DE CONTACTO ERRADOS")),0,IF(W76="SOPORTE_TELEFÓNICO",'BASE DE LIQUIDACION 2025'!$B$9,IF(Y76="TIPO I",'BASE DE LIQUIDACION 2025'!$C$3,IF(Y76="TIPO II",'BASE DE LIQUIDACION 2025'!$C$4,IF(Y76="TIPO III",'BASE DE LIQUIDACION 2025'!$C$5,'BASE DE LIQUIDACION 2025'!$C$6)))))</f>
        <v>44559.563999999998</v>
      </c>
      <c r="AD76" s="77">
        <f>IF(W76="SOPORTE_TELEFÓNICO",AC76,CIERRES!AB76*CIERRES!AC76)</f>
        <v>44559.563999999998</v>
      </c>
    </row>
    <row r="77" spans="1:30" s="64" customFormat="1" ht="13.15">
      <c r="A77" s="72" t="s">
        <v>138</v>
      </c>
      <c r="B77" s="72" t="str">
        <f>VLOOKUP(A77,'CENTRO DE COSTOS'!A:D,4,FALSE)</f>
        <v>WILLIAM ASDRUBAL ROZO ROZO</v>
      </c>
      <c r="C77" s="72" t="str">
        <f>VLOOKUP(A77,'CENTRO DE COSTOS'!A:C,2,FALSE)</f>
        <v>0004-0004</v>
      </c>
      <c r="D77" s="72">
        <v>11001</v>
      </c>
      <c r="E77" s="72" t="s">
        <v>557</v>
      </c>
      <c r="F77" s="72">
        <v>32886</v>
      </c>
      <c r="G77" s="72" t="s">
        <v>80</v>
      </c>
      <c r="H77" s="72" t="s">
        <v>140</v>
      </c>
      <c r="I77" s="72" t="s">
        <v>138</v>
      </c>
      <c r="J77" s="72" t="s">
        <v>558</v>
      </c>
      <c r="K77" s="72" t="s">
        <v>84</v>
      </c>
      <c r="L77" s="72" t="s">
        <v>559</v>
      </c>
      <c r="M77" s="73">
        <v>45891.5625</v>
      </c>
      <c r="N77" s="73">
        <v>45892.572916666664</v>
      </c>
      <c r="O77" s="63"/>
      <c r="P77" s="74" t="s">
        <v>86</v>
      </c>
      <c r="Q77" s="72" t="s">
        <v>86</v>
      </c>
      <c r="R77" s="75" t="s">
        <v>100</v>
      </c>
      <c r="S77" s="75" t="s">
        <v>100</v>
      </c>
      <c r="T77" s="72" t="s">
        <v>89</v>
      </c>
      <c r="U77" s="72" t="s">
        <v>90</v>
      </c>
      <c r="V77" s="74" t="s">
        <v>560</v>
      </c>
      <c r="W77" s="72" t="s">
        <v>102</v>
      </c>
      <c r="X77" s="72">
        <v>0</v>
      </c>
      <c r="Y77" s="72" t="s">
        <v>104</v>
      </c>
      <c r="Z77" s="72" t="str">
        <f>VLOOKUP(D77,TIPOLOGIAS!A:F,5,0)</f>
        <v>TERRESTRE</v>
      </c>
      <c r="AA77" s="72" t="s">
        <v>561</v>
      </c>
      <c r="AB77" s="76">
        <v>1</v>
      </c>
      <c r="AC77" s="77">
        <f>IF(AND(W77="SOPORTE_TELEFÓNICO",OR(U77="SIN CONTACTO CON EL CB",U77="NÚMEROS DE CONTACTO ERRADOS")),0,IF(W77="SOPORTE_TELEFÓNICO",'BASE DE LIQUIDACION 2025'!$B$9,IF(Y77="TIPO I",'BASE DE LIQUIDACION 2025'!$C$3,IF(Y77="TIPO II",'BASE DE LIQUIDACION 2025'!$C$4,IF(Y77="TIPO III",'BASE DE LIQUIDACION 2025'!$C$5,'BASE DE LIQUIDACION 2025'!$C$6)))))</f>
        <v>44559.563999999998</v>
      </c>
      <c r="AD77" s="77">
        <f>IF(W77="SOPORTE_TELEFÓNICO",AC77,CIERRES!AB77*CIERRES!AC77)</f>
        <v>44559.563999999998</v>
      </c>
    </row>
    <row r="78" spans="1:30" s="64" customFormat="1" ht="13.15">
      <c r="A78" s="72" t="s">
        <v>138</v>
      </c>
      <c r="B78" s="72" t="str">
        <f>VLOOKUP(A78,'CENTRO DE COSTOS'!A:D,4,FALSE)</f>
        <v>WILLIAM ASDRUBAL ROZO ROZO</v>
      </c>
      <c r="C78" s="72" t="str">
        <f>VLOOKUP(A78,'CENTRO DE COSTOS'!A:C,2,FALSE)</f>
        <v>0004-0004</v>
      </c>
      <c r="D78" s="72">
        <v>11001</v>
      </c>
      <c r="E78" s="72" t="s">
        <v>562</v>
      </c>
      <c r="F78" s="72">
        <v>72530</v>
      </c>
      <c r="G78" s="72" t="s">
        <v>80</v>
      </c>
      <c r="H78" s="72" t="s">
        <v>140</v>
      </c>
      <c r="I78" s="72" t="s">
        <v>138</v>
      </c>
      <c r="J78" s="72" t="s">
        <v>563</v>
      </c>
      <c r="K78" s="72" t="s">
        <v>84</v>
      </c>
      <c r="L78" s="72" t="s">
        <v>564</v>
      </c>
      <c r="M78" s="73">
        <v>45891.333333333336</v>
      </c>
      <c r="N78" s="73">
        <v>45892.575694444444</v>
      </c>
      <c r="O78" s="63"/>
      <c r="P78" s="74" t="s">
        <v>86</v>
      </c>
      <c r="Q78" s="72" t="s">
        <v>112</v>
      </c>
      <c r="R78" s="75" t="s">
        <v>100</v>
      </c>
      <c r="S78" s="75" t="s">
        <v>100</v>
      </c>
      <c r="T78" s="72" t="s">
        <v>113</v>
      </c>
      <c r="U78" s="72" t="s">
        <v>114</v>
      </c>
      <c r="V78" s="74" t="s">
        <v>565</v>
      </c>
      <c r="W78" s="72" t="s">
        <v>102</v>
      </c>
      <c r="X78" s="72" t="s">
        <v>363</v>
      </c>
      <c r="Y78" s="72" t="s">
        <v>104</v>
      </c>
      <c r="Z78" s="72" t="str">
        <f>VLOOKUP(D78,TIPOLOGIAS!A:F,5,0)</f>
        <v>TERRESTRE</v>
      </c>
      <c r="AA78" s="72" t="s">
        <v>566</v>
      </c>
      <c r="AB78" s="76">
        <v>1</v>
      </c>
      <c r="AC78" s="77">
        <f>IF(AND(W78="SOPORTE_TELEFÓNICO",OR(U78="SIN CONTACTO CON EL CB",U78="NÚMEROS DE CONTACTO ERRADOS")),0,IF(W78="SOPORTE_TELEFÓNICO",'BASE DE LIQUIDACION 2025'!$B$9,IF(Y78="TIPO I",'BASE DE LIQUIDACION 2025'!$C$3,IF(Y78="TIPO II",'BASE DE LIQUIDACION 2025'!$C$4,IF(Y78="TIPO III",'BASE DE LIQUIDACION 2025'!$C$5,'BASE DE LIQUIDACION 2025'!$C$6)))))</f>
        <v>44559.563999999998</v>
      </c>
      <c r="AD78" s="77">
        <f>IF(W78="SOPORTE_TELEFÓNICO",AC78,CIERRES!AB78*CIERRES!AC78)</f>
        <v>44559.563999999998</v>
      </c>
    </row>
    <row r="79" spans="1:30" s="64" customFormat="1" ht="13.15">
      <c r="A79" s="72" t="s">
        <v>78</v>
      </c>
      <c r="B79" s="72" t="str">
        <f>VLOOKUP(A79,'CENTRO DE COSTOS'!A:D,4,FALSE)</f>
        <v>JUAN SEBASTIÁN RÍOS CASTRILLÓN</v>
      </c>
      <c r="C79" s="72" t="str">
        <f>VLOOKUP(A79,'CENTRO DE COSTOS'!A:C,2,FALSE)</f>
        <v>0004-0005</v>
      </c>
      <c r="D79" s="72">
        <v>5172</v>
      </c>
      <c r="E79" s="72" t="s">
        <v>567</v>
      </c>
      <c r="F79" s="72">
        <v>59671</v>
      </c>
      <c r="G79" s="72" t="s">
        <v>80</v>
      </c>
      <c r="H79" s="72" t="s">
        <v>129</v>
      </c>
      <c r="I79" s="72" t="s">
        <v>568</v>
      </c>
      <c r="J79" s="72" t="s">
        <v>569</v>
      </c>
      <c r="K79" s="72" t="s">
        <v>84</v>
      </c>
      <c r="L79" s="72" t="s">
        <v>570</v>
      </c>
      <c r="M79" s="73">
        <v>45884.527777777781</v>
      </c>
      <c r="N79" s="73">
        <v>45892.655555555553</v>
      </c>
      <c r="O79" s="63"/>
      <c r="P79" s="74" t="s">
        <v>86</v>
      </c>
      <c r="Q79" s="72" t="s">
        <v>86</v>
      </c>
      <c r="R79" s="75" t="s">
        <v>100</v>
      </c>
      <c r="S79" s="75" t="s">
        <v>100</v>
      </c>
      <c r="T79" s="72" t="s">
        <v>113</v>
      </c>
      <c r="U79" s="72" t="s">
        <v>114</v>
      </c>
      <c r="V79" s="74" t="s">
        <v>571</v>
      </c>
      <c r="W79" s="72" t="s">
        <v>102</v>
      </c>
      <c r="X79" s="72" t="s">
        <v>572</v>
      </c>
      <c r="Y79" s="72" t="s">
        <v>125</v>
      </c>
      <c r="Z79" s="72" t="str">
        <f>VLOOKUP(D79,TIPOLOGIAS!A:F,5,0)</f>
        <v>TERRESTRE</v>
      </c>
      <c r="AA79" s="72" t="s">
        <v>573</v>
      </c>
      <c r="AB79" s="76">
        <v>1</v>
      </c>
      <c r="AC79" s="77">
        <f>IF(AND(W79="SOPORTE_TELEFÓNICO",OR(U79="SIN CONTACTO CON EL CB",U79="NÚMEROS DE CONTACTO ERRADOS")),0,IF(W79="SOPORTE_TELEFÓNICO",'BASE DE LIQUIDACION 2025'!$B$9,IF(Y79="TIPO I",'BASE DE LIQUIDACION 2025'!$C$3,IF(Y79="TIPO II",'BASE DE LIQUIDACION 2025'!$C$4,IF(Y79="TIPO III",'BASE DE LIQUIDACION 2025'!$C$5,'BASE DE LIQUIDACION 2025'!$C$6)))))</f>
        <v>134410.88400000002</v>
      </c>
      <c r="AD79" s="77">
        <f>IF(W79="SOPORTE_TELEFÓNICO",AC79,CIERRES!AB79*CIERRES!AC79)</f>
        <v>134410.88400000002</v>
      </c>
    </row>
    <row r="80" spans="1:30" s="64" customFormat="1" ht="13.15">
      <c r="A80" s="72" t="s">
        <v>247</v>
      </c>
      <c r="B80" s="72" t="str">
        <f>VLOOKUP(A80,'CENTRO DE COSTOS'!A:D,4,FALSE)</f>
        <v>MIGUEL JULIÁN HERNÁNDEZ GUARÍN</v>
      </c>
      <c r="C80" s="72" t="str">
        <f>VLOOKUP(A80,'CENTRO DE COSTOS'!A:C,2,FALSE)</f>
        <v>0004-0008</v>
      </c>
      <c r="D80" s="72">
        <v>54405</v>
      </c>
      <c r="E80" s="72" t="s">
        <v>574</v>
      </c>
      <c r="F80" s="72">
        <v>77857</v>
      </c>
      <c r="G80" s="72" t="s">
        <v>80</v>
      </c>
      <c r="H80" s="72" t="s">
        <v>249</v>
      </c>
      <c r="I80" s="72" t="s">
        <v>575</v>
      </c>
      <c r="J80" s="72" t="s">
        <v>576</v>
      </c>
      <c r="K80" s="72" t="s">
        <v>84</v>
      </c>
      <c r="L80" s="72" t="s">
        <v>577</v>
      </c>
      <c r="M80" s="73">
        <v>45891.5625</v>
      </c>
      <c r="N80" s="73">
        <v>45893.579861111109</v>
      </c>
      <c r="O80" s="63"/>
      <c r="P80" s="74" t="s">
        <v>86</v>
      </c>
      <c r="Q80" s="72" t="s">
        <v>112</v>
      </c>
      <c r="R80" s="75" t="s">
        <v>87</v>
      </c>
      <c r="S80" s="75" t="s">
        <v>186</v>
      </c>
      <c r="T80" s="72" t="s">
        <v>113</v>
      </c>
      <c r="U80" s="72" t="s">
        <v>114</v>
      </c>
      <c r="V80" s="74" t="s">
        <v>578</v>
      </c>
      <c r="W80" s="72" t="s">
        <v>102</v>
      </c>
      <c r="X80" s="72" t="s">
        <v>363</v>
      </c>
      <c r="Y80" s="72" t="s">
        <v>104</v>
      </c>
      <c r="Z80" s="72" t="str">
        <f>VLOOKUP(D80,TIPOLOGIAS!A:F,5,0)</f>
        <v>TERRESTRE</v>
      </c>
      <c r="AA80" s="72" t="s">
        <v>579</v>
      </c>
      <c r="AB80" s="76">
        <v>2</v>
      </c>
      <c r="AC80" s="77">
        <f>IF(AND(W80="SOPORTE_TELEFÓNICO",OR(U80="SIN CONTACTO CON EL CB",U80="NÚMEROS DE CONTACTO ERRADOS")),0,IF(W80="SOPORTE_TELEFÓNICO",'BASE DE LIQUIDACION 2025'!$B$9,IF(Y80="TIPO I",'BASE DE LIQUIDACION 2025'!$C$3,IF(Y80="TIPO II",'BASE DE LIQUIDACION 2025'!$C$4,IF(Y80="TIPO III",'BASE DE LIQUIDACION 2025'!$C$5,'BASE DE LIQUIDACION 2025'!$C$6)))))</f>
        <v>44559.563999999998</v>
      </c>
      <c r="AD80" s="77">
        <f>IF(W80="SOPORTE_TELEFÓNICO",AC80,CIERRES!AB80*CIERRES!AC80)</f>
        <v>89119.127999999997</v>
      </c>
    </row>
    <row r="81" spans="1:30" s="64" customFormat="1" ht="13.15">
      <c r="A81" s="72" t="s">
        <v>95</v>
      </c>
      <c r="B81" s="72" t="str">
        <f>VLOOKUP(A81,'CENTRO DE COSTOS'!A:D,4,FALSE)</f>
        <v>DIEGO FERNANDO HENAO CARDONA</v>
      </c>
      <c r="C81" s="72" t="str">
        <f>VLOOKUP(A81,'CENTRO DE COSTOS'!A:C,2,FALSE)</f>
        <v>0004-0003</v>
      </c>
      <c r="D81" s="72">
        <v>76001</v>
      </c>
      <c r="E81" s="72" t="s">
        <v>580</v>
      </c>
      <c r="F81" s="72">
        <v>47249</v>
      </c>
      <c r="G81" s="72" t="s">
        <v>80</v>
      </c>
      <c r="H81" s="72" t="s">
        <v>97</v>
      </c>
      <c r="I81" s="72" t="s">
        <v>95</v>
      </c>
      <c r="J81" s="72" t="s">
        <v>581</v>
      </c>
      <c r="K81" s="72" t="s">
        <v>84</v>
      </c>
      <c r="L81" s="72" t="s">
        <v>582</v>
      </c>
      <c r="M81" s="73">
        <v>45891.5625</v>
      </c>
      <c r="N81" s="73">
        <v>45893.581944444442</v>
      </c>
      <c r="O81" s="63"/>
      <c r="P81" s="74" t="s">
        <v>86</v>
      </c>
      <c r="Q81" s="72" t="s">
        <v>112</v>
      </c>
      <c r="R81" s="75" t="s">
        <v>87</v>
      </c>
      <c r="S81" s="75" t="s">
        <v>186</v>
      </c>
      <c r="T81" s="72" t="s">
        <v>113</v>
      </c>
      <c r="U81" s="72" t="s">
        <v>114</v>
      </c>
      <c r="V81" s="74" t="s">
        <v>583</v>
      </c>
      <c r="W81" s="72" t="s">
        <v>102</v>
      </c>
      <c r="X81" s="72" t="s">
        <v>584</v>
      </c>
      <c r="Y81" s="72" t="s">
        <v>104</v>
      </c>
      <c r="Z81" s="72" t="str">
        <f>VLOOKUP(D81,TIPOLOGIAS!A:F,5,0)</f>
        <v>TERRESTRE</v>
      </c>
      <c r="AA81" s="72" t="s">
        <v>105</v>
      </c>
      <c r="AB81" s="76">
        <v>1</v>
      </c>
      <c r="AC81" s="77">
        <f>IF(AND(W81="SOPORTE_TELEFÓNICO",OR(U81="SIN CONTACTO CON EL CB",U81="NÚMEROS DE CONTACTO ERRADOS")),0,IF(W81="SOPORTE_TELEFÓNICO",'BASE DE LIQUIDACION 2025'!$B$9,IF(Y81="TIPO I",'BASE DE LIQUIDACION 2025'!$C$3,IF(Y81="TIPO II",'BASE DE LIQUIDACION 2025'!$C$4,IF(Y81="TIPO III",'BASE DE LIQUIDACION 2025'!$C$5,'BASE DE LIQUIDACION 2025'!$C$6)))))</f>
        <v>44559.563999999998</v>
      </c>
      <c r="AD81" s="77">
        <f>IF(W81="SOPORTE_TELEFÓNICO",AC81,CIERRES!AB81*CIERRES!AC81)</f>
        <v>44559.563999999998</v>
      </c>
    </row>
    <row r="82" spans="1:30" s="64" customFormat="1" ht="13.15">
      <c r="A82" s="72" t="s">
        <v>127</v>
      </c>
      <c r="B82" s="72" t="str">
        <f>VLOOKUP(A82,'CENTRO DE COSTOS'!A:D,4,FALSE)</f>
        <v>JUAN SEBASTIÁN RÍOS CASTRILLÓN</v>
      </c>
      <c r="C82" s="72" t="str">
        <f>VLOOKUP(A82,'CENTRO DE COSTOS'!A:C,2,FALSE)</f>
        <v>0004-0005</v>
      </c>
      <c r="D82" s="72">
        <v>5001</v>
      </c>
      <c r="E82" s="72" t="s">
        <v>585</v>
      </c>
      <c r="F82" s="72">
        <v>25583</v>
      </c>
      <c r="G82" s="72" t="s">
        <v>80</v>
      </c>
      <c r="H82" s="72" t="s">
        <v>129</v>
      </c>
      <c r="I82" s="72" t="s">
        <v>127</v>
      </c>
      <c r="J82" s="72" t="s">
        <v>586</v>
      </c>
      <c r="K82" s="72" t="s">
        <v>84</v>
      </c>
      <c r="L82" s="72" t="s">
        <v>587</v>
      </c>
      <c r="M82" s="73">
        <v>45889.581944444442</v>
      </c>
      <c r="N82" s="73">
        <v>45893.586111111108</v>
      </c>
      <c r="O82" s="63"/>
      <c r="P82" s="74" t="s">
        <v>86</v>
      </c>
      <c r="Q82" s="72" t="s">
        <v>86</v>
      </c>
      <c r="R82" s="75" t="s">
        <v>87</v>
      </c>
      <c r="S82" s="75" t="s">
        <v>186</v>
      </c>
      <c r="T82" s="72" t="s">
        <v>89</v>
      </c>
      <c r="U82" s="72" t="s">
        <v>90</v>
      </c>
      <c r="V82" s="74" t="s">
        <v>588</v>
      </c>
      <c r="W82" s="72" t="s">
        <v>102</v>
      </c>
      <c r="X82" s="72" t="s">
        <v>363</v>
      </c>
      <c r="Y82" s="72" t="s">
        <v>104</v>
      </c>
      <c r="Z82" s="72" t="str">
        <f>VLOOKUP(D82,TIPOLOGIAS!A:F,5,0)</f>
        <v>TERRESTRE</v>
      </c>
      <c r="AA82" s="72" t="s">
        <v>545</v>
      </c>
      <c r="AB82" s="76">
        <v>1</v>
      </c>
      <c r="AC82" s="77">
        <f>IF(AND(W82="SOPORTE_TELEFÓNICO",OR(U82="SIN CONTACTO CON EL CB",U82="NÚMEROS DE CONTACTO ERRADOS")),0,IF(W82="SOPORTE_TELEFÓNICO",'BASE DE LIQUIDACION 2025'!$B$9,IF(Y82="TIPO I",'BASE DE LIQUIDACION 2025'!$C$3,IF(Y82="TIPO II",'BASE DE LIQUIDACION 2025'!$C$4,IF(Y82="TIPO III",'BASE DE LIQUIDACION 2025'!$C$5,'BASE DE LIQUIDACION 2025'!$C$6)))))</f>
        <v>44559.563999999998</v>
      </c>
      <c r="AD82" s="77">
        <f>IF(W82="SOPORTE_TELEFÓNICO",AC82,CIERRES!AB82*CIERRES!AC82)</f>
        <v>44559.563999999998</v>
      </c>
    </row>
    <row r="83" spans="1:30" s="64" customFormat="1" ht="13.15">
      <c r="A83" s="72" t="s">
        <v>138</v>
      </c>
      <c r="B83" s="72" t="str">
        <f>VLOOKUP(A83,'CENTRO DE COSTOS'!A:D,4,FALSE)</f>
        <v>WILLIAM ASDRUBAL ROZO ROZO</v>
      </c>
      <c r="C83" s="72" t="str">
        <f>VLOOKUP(A83,'CENTRO DE COSTOS'!A:C,2,FALSE)</f>
        <v>0004-0004</v>
      </c>
      <c r="D83" s="72">
        <v>11001</v>
      </c>
      <c r="E83" s="72" t="s">
        <v>589</v>
      </c>
      <c r="F83" s="72">
        <v>45415</v>
      </c>
      <c r="G83" s="72" t="s">
        <v>80</v>
      </c>
      <c r="H83" s="72" t="s">
        <v>140</v>
      </c>
      <c r="I83" s="72" t="s">
        <v>138</v>
      </c>
      <c r="J83" s="72" t="s">
        <v>590</v>
      </c>
      <c r="K83" s="72" t="s">
        <v>84</v>
      </c>
      <c r="L83" s="72" t="s">
        <v>591</v>
      </c>
      <c r="M83" s="73">
        <v>45888.651388888888</v>
      </c>
      <c r="N83" s="73">
        <v>45893.586805555555</v>
      </c>
      <c r="O83" s="63"/>
      <c r="P83" s="74" t="s">
        <v>86</v>
      </c>
      <c r="Q83" s="72" t="s">
        <v>86</v>
      </c>
      <c r="R83" s="75" t="s">
        <v>100</v>
      </c>
      <c r="S83" s="75" t="s">
        <v>100</v>
      </c>
      <c r="T83" s="72" t="s">
        <v>113</v>
      </c>
      <c r="U83" s="72" t="s">
        <v>114</v>
      </c>
      <c r="V83" s="74" t="s">
        <v>592</v>
      </c>
      <c r="W83" s="72" t="s">
        <v>102</v>
      </c>
      <c r="X83" s="72">
        <v>0</v>
      </c>
      <c r="Y83" s="72" t="s">
        <v>104</v>
      </c>
      <c r="Z83" s="72" t="str">
        <f>VLOOKUP(D83,TIPOLOGIAS!A:F,5,0)</f>
        <v>TERRESTRE</v>
      </c>
      <c r="AA83" s="72" t="s">
        <v>566</v>
      </c>
      <c r="AB83" s="76">
        <v>1</v>
      </c>
      <c r="AC83" s="77">
        <f>IF(AND(W83="SOPORTE_TELEFÓNICO",OR(U83="SIN CONTACTO CON EL CB",U83="NÚMEROS DE CONTACTO ERRADOS")),0,IF(W83="SOPORTE_TELEFÓNICO",'BASE DE LIQUIDACION 2025'!$B$9,IF(Y83="TIPO I",'BASE DE LIQUIDACION 2025'!$C$3,IF(Y83="TIPO II",'BASE DE LIQUIDACION 2025'!$C$4,IF(Y83="TIPO III",'BASE DE LIQUIDACION 2025'!$C$5,'BASE DE LIQUIDACION 2025'!$C$6)))))</f>
        <v>44559.563999999998</v>
      </c>
      <c r="AD83" s="77">
        <f>IF(W83="SOPORTE_TELEFÓNICO",AC83,CIERRES!AB83*CIERRES!AC83)</f>
        <v>44559.563999999998</v>
      </c>
    </row>
    <row r="84" spans="1:30" s="64" customFormat="1" ht="13.15">
      <c r="A84" s="72" t="s">
        <v>247</v>
      </c>
      <c r="B84" s="72" t="str">
        <f>VLOOKUP(A84,'CENTRO DE COSTOS'!A:D,4,FALSE)</f>
        <v>MIGUEL JULIÁN HERNÁNDEZ GUARÍN</v>
      </c>
      <c r="C84" s="72" t="str">
        <f>VLOOKUP(A84,'CENTRO DE COSTOS'!A:C,2,FALSE)</f>
        <v>0004-0008</v>
      </c>
      <c r="D84" s="72">
        <v>54498</v>
      </c>
      <c r="E84" s="72" t="s">
        <v>593</v>
      </c>
      <c r="F84" s="72">
        <v>45252</v>
      </c>
      <c r="G84" s="72" t="s">
        <v>80</v>
      </c>
      <c r="H84" s="72" t="s">
        <v>249</v>
      </c>
      <c r="I84" s="72" t="s">
        <v>594</v>
      </c>
      <c r="J84" s="72" t="s">
        <v>595</v>
      </c>
      <c r="K84" s="72" t="s">
        <v>84</v>
      </c>
      <c r="L84" s="72" t="s">
        <v>596</v>
      </c>
      <c r="M84" s="73">
        <v>45888.595138888886</v>
      </c>
      <c r="N84" s="73">
        <v>45893.589583333334</v>
      </c>
      <c r="O84" s="63"/>
      <c r="P84" s="74" t="s">
        <v>86</v>
      </c>
      <c r="Q84" s="72" t="s">
        <v>86</v>
      </c>
      <c r="R84" s="75" t="s">
        <v>87</v>
      </c>
      <c r="S84" s="75" t="s">
        <v>88</v>
      </c>
      <c r="T84" s="72" t="s">
        <v>135</v>
      </c>
      <c r="U84" s="72" t="s">
        <v>136</v>
      </c>
      <c r="V84" s="74" t="s">
        <v>597</v>
      </c>
      <c r="W84" s="72" t="s">
        <v>102</v>
      </c>
      <c r="X84" s="72" t="s">
        <v>598</v>
      </c>
      <c r="Y84" s="72" t="s">
        <v>176</v>
      </c>
      <c r="Z84" s="72" t="str">
        <f>VLOOKUP(D84,TIPOLOGIAS!A:F,5,0)</f>
        <v>TERRESTRE</v>
      </c>
      <c r="AA84" s="72" t="s">
        <v>409</v>
      </c>
      <c r="AB84" s="76">
        <v>1</v>
      </c>
      <c r="AC84" s="77">
        <f>IF(AND(W84="SOPORTE_TELEFÓNICO",OR(U84="SIN CONTACTO CON EL CB",U84="NÚMEROS DE CONTACTO ERRADOS")),0,IF(W84="SOPORTE_TELEFÓNICO",'BASE DE LIQUIDACION 2025'!$B$9,IF(Y84="TIPO I",'BASE DE LIQUIDACION 2025'!$C$3,IF(Y84="TIPO II",'BASE DE LIQUIDACION 2025'!$C$4,IF(Y84="TIPO III",'BASE DE LIQUIDACION 2025'!$C$5,'BASE DE LIQUIDACION 2025'!$C$6)))))</f>
        <v>464809.36800000002</v>
      </c>
      <c r="AD84" s="77">
        <f>IF(W84="SOPORTE_TELEFÓNICO",AC84,CIERRES!AB84*CIERRES!AC84)</f>
        <v>464809.36800000002</v>
      </c>
    </row>
    <row r="85" spans="1:30" s="64" customFormat="1" ht="13.15">
      <c r="A85" s="72" t="s">
        <v>138</v>
      </c>
      <c r="B85" s="72" t="str">
        <f>VLOOKUP(A85,'CENTRO DE COSTOS'!A:D,4,FALSE)</f>
        <v>WILLIAM ASDRUBAL ROZO ROZO</v>
      </c>
      <c r="C85" s="72" t="str">
        <f>VLOOKUP(A85,'CENTRO DE COSTOS'!A:C,2,FALSE)</f>
        <v>0004-0004</v>
      </c>
      <c r="D85" s="72">
        <v>11001</v>
      </c>
      <c r="E85" s="72" t="s">
        <v>599</v>
      </c>
      <c r="F85" s="72">
        <v>68439</v>
      </c>
      <c r="G85" s="72" t="s">
        <v>80</v>
      </c>
      <c r="H85" s="72" t="s">
        <v>140</v>
      </c>
      <c r="I85" s="72" t="s">
        <v>138</v>
      </c>
      <c r="J85" s="72" t="s">
        <v>600</v>
      </c>
      <c r="K85" s="72" t="s">
        <v>84</v>
      </c>
      <c r="L85" s="72" t="s">
        <v>601</v>
      </c>
      <c r="M85" s="73">
        <v>45888.595138888886</v>
      </c>
      <c r="N85" s="73">
        <v>45894.598611111112</v>
      </c>
      <c r="O85" s="63"/>
      <c r="P85" s="74" t="s">
        <v>86</v>
      </c>
      <c r="Q85" s="72" t="s">
        <v>86</v>
      </c>
      <c r="R85" s="75" t="s">
        <v>87</v>
      </c>
      <c r="S85" s="75" t="s">
        <v>186</v>
      </c>
      <c r="T85" s="72" t="s">
        <v>113</v>
      </c>
      <c r="U85" s="72" t="s">
        <v>114</v>
      </c>
      <c r="V85" s="74" t="s">
        <v>602</v>
      </c>
      <c r="W85" s="72" t="s">
        <v>102</v>
      </c>
      <c r="X85" s="72" t="s">
        <v>363</v>
      </c>
      <c r="Y85" s="72" t="s">
        <v>104</v>
      </c>
      <c r="Z85" s="72" t="str">
        <f>VLOOKUP(D85,TIPOLOGIAS!A:F,5,0)</f>
        <v>TERRESTRE</v>
      </c>
      <c r="AA85" s="72" t="s">
        <v>566</v>
      </c>
      <c r="AB85" s="76">
        <v>1</v>
      </c>
      <c r="AC85" s="77">
        <f>IF(AND(W85="SOPORTE_TELEFÓNICO",OR(U85="SIN CONTACTO CON EL CB",U85="NÚMEROS DE CONTACTO ERRADOS")),0,IF(W85="SOPORTE_TELEFÓNICO",'BASE DE LIQUIDACION 2025'!$B$9,IF(Y85="TIPO I",'BASE DE LIQUIDACION 2025'!$C$3,IF(Y85="TIPO II",'BASE DE LIQUIDACION 2025'!$C$4,IF(Y85="TIPO III",'BASE DE LIQUIDACION 2025'!$C$5,'BASE DE LIQUIDACION 2025'!$C$6)))))</f>
        <v>44559.563999999998</v>
      </c>
      <c r="AD85" s="77">
        <f>IF(W85="SOPORTE_TELEFÓNICO",AC85,CIERRES!AB85*CIERRES!AC85)</f>
        <v>44559.563999999998</v>
      </c>
    </row>
    <row r="86" spans="1:30" s="64" customFormat="1" ht="13.15">
      <c r="A86" s="72" t="s">
        <v>603</v>
      </c>
      <c r="B86" s="72" t="str">
        <f>VLOOKUP(A86,'CENTRO DE COSTOS'!A:D,4,FALSE)</f>
        <v>JOSE MAURICIO HERNANDEZ ROJAS</v>
      </c>
      <c r="C86" s="72" t="str">
        <f>VLOOKUP(A86,'CENTRO DE COSTOS'!A:C,2,FALSE)</f>
        <v>0004-0001</v>
      </c>
      <c r="D86" s="72">
        <v>8436</v>
      </c>
      <c r="E86" s="72" t="s">
        <v>604</v>
      </c>
      <c r="F86" s="72">
        <v>54295</v>
      </c>
      <c r="G86" s="72" t="s">
        <v>80</v>
      </c>
      <c r="H86" s="72" t="s">
        <v>605</v>
      </c>
      <c r="I86" s="72" t="s">
        <v>606</v>
      </c>
      <c r="J86" s="72" t="s">
        <v>607</v>
      </c>
      <c r="K86" s="72" t="s">
        <v>84</v>
      </c>
      <c r="L86" s="72" t="s">
        <v>608</v>
      </c>
      <c r="M86" s="73">
        <v>45891.5625</v>
      </c>
      <c r="N86" s="73">
        <v>45894.634722222225</v>
      </c>
      <c r="O86" s="63"/>
      <c r="P86" s="74" t="s">
        <v>86</v>
      </c>
      <c r="Q86" s="72" t="s">
        <v>112</v>
      </c>
      <c r="R86" s="75" t="s">
        <v>87</v>
      </c>
      <c r="S86" s="75" t="s">
        <v>186</v>
      </c>
      <c r="T86" s="72" t="s">
        <v>89</v>
      </c>
      <c r="U86" s="72" t="s">
        <v>90</v>
      </c>
      <c r="V86" s="74" t="s">
        <v>609</v>
      </c>
      <c r="W86" s="72" t="s">
        <v>102</v>
      </c>
      <c r="X86" s="72" t="s">
        <v>610</v>
      </c>
      <c r="Y86" s="72" t="s">
        <v>125</v>
      </c>
      <c r="Z86" s="72" t="str">
        <f>VLOOKUP(D86,TIPOLOGIAS!A:F,5,0)</f>
        <v>TERRESTRE</v>
      </c>
      <c r="AA86" s="72" t="s">
        <v>611</v>
      </c>
      <c r="AB86" s="76">
        <v>1</v>
      </c>
      <c r="AC86" s="77">
        <f>IF(AND(W86="SOPORTE_TELEFÓNICO",OR(U86="SIN CONTACTO CON EL CB",U86="NÚMEROS DE CONTACTO ERRADOS")),0,IF(W86="SOPORTE_TELEFÓNICO",'BASE DE LIQUIDACION 2025'!$B$9,IF(Y86="TIPO I",'BASE DE LIQUIDACION 2025'!$C$3,IF(Y86="TIPO II",'BASE DE LIQUIDACION 2025'!$C$4,IF(Y86="TIPO III",'BASE DE LIQUIDACION 2025'!$C$5,'BASE DE LIQUIDACION 2025'!$C$6)))))</f>
        <v>134410.88400000002</v>
      </c>
      <c r="AD86" s="77">
        <f>IF(W86="SOPORTE_TELEFÓNICO",AC86,CIERRES!AB86*CIERRES!AC86)</f>
        <v>134410.88400000002</v>
      </c>
    </row>
    <row r="87" spans="1:30" s="64" customFormat="1" ht="13.15">
      <c r="A87" s="72" t="s">
        <v>138</v>
      </c>
      <c r="B87" s="72" t="str">
        <f>VLOOKUP(A87,'CENTRO DE COSTOS'!A:D,4,FALSE)</f>
        <v>WILLIAM ASDRUBAL ROZO ROZO</v>
      </c>
      <c r="C87" s="72" t="str">
        <f>VLOOKUP(A87,'CENTRO DE COSTOS'!A:C,2,FALSE)</f>
        <v>0004-0004</v>
      </c>
      <c r="D87" s="72">
        <v>11001</v>
      </c>
      <c r="E87" s="72" t="s">
        <v>612</v>
      </c>
      <c r="F87" s="72">
        <v>69346</v>
      </c>
      <c r="G87" s="72" t="s">
        <v>80</v>
      </c>
      <c r="H87" s="72" t="s">
        <v>140</v>
      </c>
      <c r="I87" s="72" t="s">
        <v>138</v>
      </c>
      <c r="J87" s="72" t="s">
        <v>613</v>
      </c>
      <c r="K87" s="72" t="s">
        <v>84</v>
      </c>
      <c r="L87" s="72" t="s">
        <v>614</v>
      </c>
      <c r="M87" s="73">
        <v>45889.583333333336</v>
      </c>
      <c r="N87" s="73">
        <v>45894.69027777778</v>
      </c>
      <c r="O87" s="63"/>
      <c r="P87" s="74" t="s">
        <v>86</v>
      </c>
      <c r="Q87" s="72" t="s">
        <v>112</v>
      </c>
      <c r="R87" s="75" t="s">
        <v>100</v>
      </c>
      <c r="S87" s="75" t="s">
        <v>100</v>
      </c>
      <c r="T87" s="72" t="s">
        <v>113</v>
      </c>
      <c r="U87" s="72" t="s">
        <v>114</v>
      </c>
      <c r="V87" s="74" t="s">
        <v>615</v>
      </c>
      <c r="W87" s="72" t="s">
        <v>102</v>
      </c>
      <c r="X87" s="72">
        <v>0</v>
      </c>
      <c r="Y87" s="72" t="s">
        <v>104</v>
      </c>
      <c r="Z87" s="72" t="str">
        <f>VLOOKUP(D87,TIPOLOGIAS!A:F,5,0)</f>
        <v>TERRESTRE</v>
      </c>
      <c r="AA87" s="72" t="s">
        <v>616</v>
      </c>
      <c r="AB87" s="76">
        <v>1</v>
      </c>
      <c r="AC87" s="77">
        <f>IF(AND(W87="SOPORTE_TELEFÓNICO",OR(U87="SIN CONTACTO CON EL CB",U87="NÚMEROS DE CONTACTO ERRADOS")),0,IF(W87="SOPORTE_TELEFÓNICO",'BASE DE LIQUIDACION 2025'!$B$9,IF(Y87="TIPO I",'BASE DE LIQUIDACION 2025'!$C$3,IF(Y87="TIPO II",'BASE DE LIQUIDACION 2025'!$C$4,IF(Y87="TIPO III",'BASE DE LIQUIDACION 2025'!$C$5,'BASE DE LIQUIDACION 2025'!$C$6)))))</f>
        <v>44559.563999999998</v>
      </c>
      <c r="AD87" s="77">
        <f>IF(W87="SOPORTE_TELEFÓNICO",AC87,CIERRES!AB87*CIERRES!AC87)</f>
        <v>44559.563999999998</v>
      </c>
    </row>
    <row r="88" spans="1:30" s="64" customFormat="1" ht="13.15">
      <c r="A88" s="72" t="s">
        <v>127</v>
      </c>
      <c r="B88" s="72" t="str">
        <f>VLOOKUP(A88,'CENTRO DE COSTOS'!A:D,4,FALSE)</f>
        <v>JUAN SEBASTIÁN RÍOS CASTRILLÓN</v>
      </c>
      <c r="C88" s="72" t="str">
        <f>VLOOKUP(A88,'CENTRO DE COSTOS'!A:C,2,FALSE)</f>
        <v>0004-0005</v>
      </c>
      <c r="D88" s="72">
        <v>5660</v>
      </c>
      <c r="E88" s="72" t="s">
        <v>617</v>
      </c>
      <c r="F88" s="72">
        <v>78762</v>
      </c>
      <c r="G88" s="72" t="s">
        <v>80</v>
      </c>
      <c r="H88" s="72" t="s">
        <v>129</v>
      </c>
      <c r="I88" s="72" t="s">
        <v>618</v>
      </c>
      <c r="J88" s="72" t="s">
        <v>619</v>
      </c>
      <c r="K88" s="72" t="s">
        <v>84</v>
      </c>
      <c r="L88" s="72" t="s">
        <v>620</v>
      </c>
      <c r="M88" s="73">
        <v>45888.595138888886</v>
      </c>
      <c r="N88" s="73">
        <v>45895.429166666669</v>
      </c>
      <c r="O88" s="63"/>
      <c r="P88" s="74" t="s">
        <v>86</v>
      </c>
      <c r="Q88" s="72" t="s">
        <v>86</v>
      </c>
      <c r="R88" s="75" t="s">
        <v>87</v>
      </c>
      <c r="S88" s="75" t="s">
        <v>88</v>
      </c>
      <c r="T88" s="72" t="s">
        <v>113</v>
      </c>
      <c r="U88" s="72" t="s">
        <v>114</v>
      </c>
      <c r="V88" s="74" t="s">
        <v>621</v>
      </c>
      <c r="W88" s="72" t="s">
        <v>102</v>
      </c>
      <c r="X88" s="72" t="s">
        <v>622</v>
      </c>
      <c r="Y88" s="72" t="s">
        <v>116</v>
      </c>
      <c r="Z88" s="72" t="str">
        <f>VLOOKUP(D88,TIPOLOGIAS!A:F,5,0)</f>
        <v>TERRESTRE</v>
      </c>
      <c r="AA88" s="72" t="s">
        <v>404</v>
      </c>
      <c r="AB88" s="76">
        <v>1</v>
      </c>
      <c r="AC88" s="77">
        <f>IF(AND(W88="SOPORTE_TELEFÓNICO",OR(U88="SIN CONTACTO CON EL CB",U88="NÚMEROS DE CONTACTO ERRADOS")),0,IF(W88="SOPORTE_TELEFÓNICO",'BASE DE LIQUIDACION 2025'!$B$9,IF(Y88="TIPO I",'BASE DE LIQUIDACION 2025'!$C$3,IF(Y88="TIPO II",'BASE DE LIQUIDACION 2025'!$C$4,IF(Y88="TIPO III",'BASE DE LIQUIDACION 2025'!$C$5,'BASE DE LIQUIDACION 2025'!$C$6)))))</f>
        <v>222904.07200000001</v>
      </c>
      <c r="AD88" s="77">
        <f>IF(W88="SOPORTE_TELEFÓNICO",AC88,CIERRES!AB88*CIERRES!AC88)</f>
        <v>222904.07200000001</v>
      </c>
    </row>
    <row r="89" spans="1:30" s="64" customFormat="1" ht="13.15">
      <c r="A89" s="72" t="s">
        <v>260</v>
      </c>
      <c r="B89" s="72" t="str">
        <f>VLOOKUP(A89,'CENTRO DE COSTOS'!A:D,4,FALSE)</f>
        <v>JOSE MAURICIO HERNANDEZ ROJAS</v>
      </c>
      <c r="C89" s="72" t="str">
        <f>VLOOKUP(A89,'CENTRO DE COSTOS'!A:C,2,FALSE)</f>
        <v>0004-0001</v>
      </c>
      <c r="D89" s="72">
        <v>44430</v>
      </c>
      <c r="E89" s="72" t="s">
        <v>623</v>
      </c>
      <c r="F89" s="72">
        <v>68485</v>
      </c>
      <c r="G89" s="72" t="s">
        <v>80</v>
      </c>
      <c r="H89" s="72" t="s">
        <v>624</v>
      </c>
      <c r="I89" s="72" t="s">
        <v>625</v>
      </c>
      <c r="J89" s="72" t="s">
        <v>626</v>
      </c>
      <c r="K89" s="72" t="s">
        <v>84</v>
      </c>
      <c r="L89" s="72" t="s">
        <v>627</v>
      </c>
      <c r="M89" s="73">
        <v>45884.48333333333</v>
      </c>
      <c r="N89" s="73">
        <v>45895.434027777781</v>
      </c>
      <c r="O89" s="63"/>
      <c r="P89" s="74" t="s">
        <v>86</v>
      </c>
      <c r="Q89" s="72" t="s">
        <v>86</v>
      </c>
      <c r="R89" s="75" t="s">
        <v>87</v>
      </c>
      <c r="S89" s="75" t="s">
        <v>88</v>
      </c>
      <c r="T89" s="72" t="s">
        <v>89</v>
      </c>
      <c r="U89" s="72" t="s">
        <v>90</v>
      </c>
      <c r="V89" s="74" t="s">
        <v>628</v>
      </c>
      <c r="W89" s="72" t="s">
        <v>102</v>
      </c>
      <c r="X89" s="72">
        <v>0</v>
      </c>
      <c r="Y89" s="72" t="s">
        <v>176</v>
      </c>
      <c r="Z89" s="72" t="str">
        <f>VLOOKUP(D89,TIPOLOGIAS!A:F,5,0)</f>
        <v>TERRESTRE</v>
      </c>
      <c r="AA89" s="72" t="s">
        <v>267</v>
      </c>
      <c r="AB89" s="76">
        <v>1</v>
      </c>
      <c r="AC89" s="77">
        <f>IF(AND(W89="SOPORTE_TELEFÓNICO",OR(U89="SIN CONTACTO CON EL CB",U89="NÚMEROS DE CONTACTO ERRADOS")),0,IF(W89="SOPORTE_TELEFÓNICO",'BASE DE LIQUIDACION 2025'!$B$9,IF(Y89="TIPO I",'BASE DE LIQUIDACION 2025'!$C$3,IF(Y89="TIPO II",'BASE DE LIQUIDACION 2025'!$C$4,IF(Y89="TIPO III",'BASE DE LIQUIDACION 2025'!$C$5,'BASE DE LIQUIDACION 2025'!$C$6)))))</f>
        <v>464809.36800000002</v>
      </c>
      <c r="AD89" s="77">
        <f>IF(W89="SOPORTE_TELEFÓNICO",AC89,CIERRES!AB89*CIERRES!AC89)</f>
        <v>464809.36800000002</v>
      </c>
    </row>
    <row r="90" spans="1:30" s="64" customFormat="1" ht="13.15">
      <c r="A90" s="72" t="s">
        <v>127</v>
      </c>
      <c r="B90" s="72" t="str">
        <f>VLOOKUP(A90,'CENTRO DE COSTOS'!A:D,4,FALSE)</f>
        <v>JUAN SEBASTIÁN RÍOS CASTRILLÓN</v>
      </c>
      <c r="C90" s="72" t="str">
        <f>VLOOKUP(A90,'CENTRO DE COSTOS'!A:C,2,FALSE)</f>
        <v>0004-0005</v>
      </c>
      <c r="D90" s="72">
        <v>5266</v>
      </c>
      <c r="E90" s="72" t="s">
        <v>629</v>
      </c>
      <c r="F90" s="72">
        <v>64680</v>
      </c>
      <c r="G90" s="72" t="s">
        <v>80</v>
      </c>
      <c r="H90" s="72" t="s">
        <v>129</v>
      </c>
      <c r="I90" s="72" t="s">
        <v>630</v>
      </c>
      <c r="J90" s="72" t="s">
        <v>631</v>
      </c>
      <c r="K90" s="72" t="s">
        <v>84</v>
      </c>
      <c r="L90" s="72" t="s">
        <v>632</v>
      </c>
      <c r="M90" s="73">
        <v>45895.333333333336</v>
      </c>
      <c r="N90" s="73">
        <v>45895.511111111111</v>
      </c>
      <c r="O90" s="63"/>
      <c r="P90" s="74" t="s">
        <v>86</v>
      </c>
      <c r="Q90" s="72" t="s">
        <v>86</v>
      </c>
      <c r="R90" s="75" t="s">
        <v>87</v>
      </c>
      <c r="S90" s="75" t="s">
        <v>88</v>
      </c>
      <c r="T90" s="72" t="s">
        <v>89</v>
      </c>
      <c r="U90" s="72" t="s">
        <v>90</v>
      </c>
      <c r="V90" s="74" t="s">
        <v>633</v>
      </c>
      <c r="W90" s="72" t="s">
        <v>102</v>
      </c>
      <c r="X90" s="72" t="s">
        <v>634</v>
      </c>
      <c r="Y90" s="72" t="s">
        <v>104</v>
      </c>
      <c r="Z90" s="72" t="str">
        <f>VLOOKUP(D90,TIPOLOGIAS!A:F,5,0)</f>
        <v>TERRESTRE</v>
      </c>
      <c r="AA90" s="72" t="s">
        <v>374</v>
      </c>
      <c r="AB90" s="76">
        <v>1</v>
      </c>
      <c r="AC90" s="77">
        <f>IF(AND(W90="SOPORTE_TELEFÓNICO",OR(U90="SIN CONTACTO CON EL CB",U90="NÚMEROS DE CONTACTO ERRADOS")),0,IF(W90="SOPORTE_TELEFÓNICO",'BASE DE LIQUIDACION 2025'!$B$9,IF(Y90="TIPO I",'BASE DE LIQUIDACION 2025'!$C$3,IF(Y90="TIPO II",'BASE DE LIQUIDACION 2025'!$C$4,IF(Y90="TIPO III",'BASE DE LIQUIDACION 2025'!$C$5,'BASE DE LIQUIDACION 2025'!$C$6)))))</f>
        <v>44559.563999999998</v>
      </c>
      <c r="AD90" s="77">
        <f>IF(W90="SOPORTE_TELEFÓNICO",AC90,CIERRES!AB90*CIERRES!AC90)</f>
        <v>44559.563999999998</v>
      </c>
    </row>
    <row r="91" spans="1:30" s="64" customFormat="1" ht="13.15">
      <c r="A91" s="72" t="s">
        <v>603</v>
      </c>
      <c r="B91" s="72" t="str">
        <f>VLOOKUP(A91,'CENTRO DE COSTOS'!A:D,4,FALSE)</f>
        <v>JOSE MAURICIO HERNANDEZ ROJAS</v>
      </c>
      <c r="C91" s="72" t="str">
        <f>VLOOKUP(A91,'CENTRO DE COSTOS'!A:C,2,FALSE)</f>
        <v>0004-0001</v>
      </c>
      <c r="D91" s="72">
        <v>8758</v>
      </c>
      <c r="E91" s="72" t="s">
        <v>635</v>
      </c>
      <c r="F91" s="72">
        <v>47346</v>
      </c>
      <c r="G91" s="72" t="s">
        <v>80</v>
      </c>
      <c r="H91" s="72" t="s">
        <v>605</v>
      </c>
      <c r="I91" s="72" t="s">
        <v>636</v>
      </c>
      <c r="J91" s="72" t="s">
        <v>637</v>
      </c>
      <c r="K91" s="72" t="s">
        <v>84</v>
      </c>
      <c r="L91" s="72" t="s">
        <v>638</v>
      </c>
      <c r="M91" s="73">
        <v>45888.595138888886</v>
      </c>
      <c r="N91" s="73">
        <v>45895.569444444445</v>
      </c>
      <c r="O91" s="63"/>
      <c r="P91" s="74" t="s">
        <v>86</v>
      </c>
      <c r="Q91" s="72" t="s">
        <v>86</v>
      </c>
      <c r="R91" s="75" t="s">
        <v>87</v>
      </c>
      <c r="S91" s="75" t="s">
        <v>186</v>
      </c>
      <c r="T91" s="72" t="s">
        <v>89</v>
      </c>
      <c r="U91" s="72" t="s">
        <v>90</v>
      </c>
      <c r="V91" s="74" t="s">
        <v>639</v>
      </c>
      <c r="W91" s="72" t="s">
        <v>92</v>
      </c>
      <c r="X91" s="72">
        <v>0</v>
      </c>
      <c r="Y91" s="72" t="s">
        <v>104</v>
      </c>
      <c r="Z91" s="72" t="str">
        <f>VLOOKUP(D91,TIPOLOGIAS!A:F,5,0)</f>
        <v>TERRESTRE</v>
      </c>
      <c r="AA91" s="72" t="s">
        <v>611</v>
      </c>
      <c r="AB91" s="76">
        <v>0</v>
      </c>
      <c r="AC91" s="77">
        <f>IF(AND(W91="SOPORTE_TELEFÓNICO",OR(U91="SIN CONTACTO CON EL CB",U91="NÚMEROS DE CONTACTO ERRADOS")),0,IF(W91="SOPORTE_TELEFÓNICO",'BASE DE LIQUIDACION 2025'!$B$9,IF(Y91="TIPO I",'BASE DE LIQUIDACION 2025'!$C$3,IF(Y91="TIPO II",'BASE DE LIQUIDACION 2025'!$C$4,IF(Y91="TIPO III",'BASE DE LIQUIDACION 2025'!$C$5,'BASE DE LIQUIDACION 2025'!$C$6)))))</f>
        <v>37904.612000000001</v>
      </c>
      <c r="AD91" s="77">
        <f>IF(W91="SOPORTE_TELEFÓNICO",AC91,CIERRES!AB91*CIERRES!AC91)</f>
        <v>37904.612000000001</v>
      </c>
    </row>
    <row r="92" spans="1:30" s="64" customFormat="1" ht="13.15">
      <c r="A92" s="72" t="s">
        <v>95</v>
      </c>
      <c r="B92" s="72" t="str">
        <f>VLOOKUP(A92,'CENTRO DE COSTOS'!A:D,4,FALSE)</f>
        <v>DIEGO FERNANDO HENAO CARDONA</v>
      </c>
      <c r="C92" s="72" t="str">
        <f>VLOOKUP(A92,'CENTRO DE COSTOS'!A:C,2,FALSE)</f>
        <v>0004-0003</v>
      </c>
      <c r="D92" s="72">
        <v>76109</v>
      </c>
      <c r="E92" s="72" t="s">
        <v>640</v>
      </c>
      <c r="F92" s="72">
        <v>76884</v>
      </c>
      <c r="G92" s="72" t="s">
        <v>80</v>
      </c>
      <c r="H92" s="72" t="s">
        <v>97</v>
      </c>
      <c r="I92" s="72" t="s">
        <v>313</v>
      </c>
      <c r="J92" s="72" t="s">
        <v>314</v>
      </c>
      <c r="K92" s="72" t="s">
        <v>84</v>
      </c>
      <c r="L92" s="72" t="s">
        <v>641</v>
      </c>
      <c r="M92" s="73">
        <v>45891.333333333336</v>
      </c>
      <c r="N92" s="73">
        <v>45895.574305555558</v>
      </c>
      <c r="O92" s="63"/>
      <c r="P92" s="74" t="s">
        <v>86</v>
      </c>
      <c r="Q92" s="72" t="s">
        <v>112</v>
      </c>
      <c r="R92" s="75" t="s">
        <v>100</v>
      </c>
      <c r="S92" s="75" t="s">
        <v>100</v>
      </c>
      <c r="T92" s="72" t="s">
        <v>89</v>
      </c>
      <c r="U92" s="72" t="s">
        <v>231</v>
      </c>
      <c r="V92" s="74" t="s">
        <v>642</v>
      </c>
      <c r="W92" s="72" t="s">
        <v>102</v>
      </c>
      <c r="X92" s="72" t="s">
        <v>643</v>
      </c>
      <c r="Y92" s="72" t="s">
        <v>116</v>
      </c>
      <c r="Z92" s="72" t="str">
        <f>VLOOKUP(D92,TIPOLOGIAS!A:F,5,0)</f>
        <v>TERRESTRE</v>
      </c>
      <c r="AA92" s="72" t="s">
        <v>390</v>
      </c>
      <c r="AB92" s="76">
        <v>1</v>
      </c>
      <c r="AC92" s="77">
        <f>IF(AND(W92="SOPORTE_TELEFÓNICO",OR(U92="SIN CONTACTO CON EL CB",U92="NÚMEROS DE CONTACTO ERRADOS")),0,IF(W92="SOPORTE_TELEFÓNICO",'BASE DE LIQUIDACION 2025'!$B$9,IF(Y92="TIPO I",'BASE DE LIQUIDACION 2025'!$C$3,IF(Y92="TIPO II",'BASE DE LIQUIDACION 2025'!$C$4,IF(Y92="TIPO III",'BASE DE LIQUIDACION 2025'!$C$5,'BASE DE LIQUIDACION 2025'!$C$6)))))</f>
        <v>222904.07200000001</v>
      </c>
      <c r="AD92" s="77">
        <f>IF(W92="SOPORTE_TELEFÓNICO",AC92,CIERRES!AB92*CIERRES!AC92)</f>
        <v>222904.07200000001</v>
      </c>
    </row>
    <row r="93" spans="1:30" s="64" customFormat="1" ht="13.15">
      <c r="A93" s="72" t="s">
        <v>138</v>
      </c>
      <c r="B93" s="72" t="str">
        <f>VLOOKUP(A93,'CENTRO DE COSTOS'!A:D,4,FALSE)</f>
        <v>WILLIAM ASDRUBAL ROZO ROZO</v>
      </c>
      <c r="C93" s="72" t="str">
        <f>VLOOKUP(A93,'CENTRO DE COSTOS'!A:C,2,FALSE)</f>
        <v>0004-0004</v>
      </c>
      <c r="D93" s="72">
        <v>11001</v>
      </c>
      <c r="E93" s="72" t="s">
        <v>644</v>
      </c>
      <c r="F93" s="72">
        <v>64871</v>
      </c>
      <c r="G93" s="72" t="s">
        <v>80</v>
      </c>
      <c r="H93" s="72" t="s">
        <v>140</v>
      </c>
      <c r="I93" s="72" t="s">
        <v>138</v>
      </c>
      <c r="J93" s="72" t="s">
        <v>645</v>
      </c>
      <c r="K93" s="72" t="s">
        <v>84</v>
      </c>
      <c r="L93" s="72" t="s">
        <v>646</v>
      </c>
      <c r="M93" s="73">
        <v>45895.333333333336</v>
      </c>
      <c r="N93" s="73">
        <v>45896.381249999999</v>
      </c>
      <c r="O93" s="63"/>
      <c r="P93" s="74" t="s">
        <v>86</v>
      </c>
      <c r="Q93" s="72" t="s">
        <v>86</v>
      </c>
      <c r="R93" s="75" t="s">
        <v>87</v>
      </c>
      <c r="S93" s="75" t="s">
        <v>186</v>
      </c>
      <c r="T93" s="72" t="s">
        <v>113</v>
      </c>
      <c r="U93" s="72" t="s">
        <v>114</v>
      </c>
      <c r="V93" s="74" t="s">
        <v>647</v>
      </c>
      <c r="W93" s="72" t="s">
        <v>102</v>
      </c>
      <c r="X93" s="72">
        <v>0</v>
      </c>
      <c r="Y93" s="72" t="s">
        <v>104</v>
      </c>
      <c r="Z93" s="72" t="str">
        <f>VLOOKUP(D93,TIPOLOGIAS!A:F,5,0)</f>
        <v>TERRESTRE</v>
      </c>
      <c r="AA93" s="72" t="s">
        <v>616</v>
      </c>
      <c r="AB93" s="76">
        <v>1</v>
      </c>
      <c r="AC93" s="77">
        <f>IF(AND(W93="SOPORTE_TELEFÓNICO",OR(U93="SIN CONTACTO CON EL CB",U93="NÚMEROS DE CONTACTO ERRADOS")),0,IF(W93="SOPORTE_TELEFÓNICO",'BASE DE LIQUIDACION 2025'!$B$9,IF(Y93="TIPO I",'BASE DE LIQUIDACION 2025'!$C$3,IF(Y93="TIPO II",'BASE DE LIQUIDACION 2025'!$C$4,IF(Y93="TIPO III",'BASE DE LIQUIDACION 2025'!$C$5,'BASE DE LIQUIDACION 2025'!$C$6)))))</f>
        <v>44559.563999999998</v>
      </c>
      <c r="AD93" s="77">
        <f>IF(W93="SOPORTE_TELEFÓNICO",AC93,CIERRES!AB93*CIERRES!AC93)</f>
        <v>44559.563999999998</v>
      </c>
    </row>
    <row r="94" spans="1:30" s="64" customFormat="1" ht="13.15">
      <c r="A94" s="72" t="s">
        <v>127</v>
      </c>
      <c r="B94" s="72" t="str">
        <f>VLOOKUP(A94,'CENTRO DE COSTOS'!A:D,4,FALSE)</f>
        <v>JUAN SEBASTIÁN RÍOS CASTRILLÓN</v>
      </c>
      <c r="C94" s="72" t="str">
        <f>VLOOKUP(A94,'CENTRO DE COSTOS'!A:C,2,FALSE)</f>
        <v>0004-0005</v>
      </c>
      <c r="D94" s="72">
        <v>5001</v>
      </c>
      <c r="E94" s="72" t="s">
        <v>648</v>
      </c>
      <c r="F94" s="72">
        <v>75311</v>
      </c>
      <c r="G94" s="72" t="s">
        <v>80</v>
      </c>
      <c r="H94" s="72" t="s">
        <v>129</v>
      </c>
      <c r="I94" s="72" t="s">
        <v>127</v>
      </c>
      <c r="J94" s="72" t="s">
        <v>649</v>
      </c>
      <c r="K94" s="72" t="s">
        <v>84</v>
      </c>
      <c r="L94" s="72" t="s">
        <v>650</v>
      </c>
      <c r="M94" s="73">
        <v>45889.583333333336</v>
      </c>
      <c r="N94" s="73">
        <v>45896.397916666669</v>
      </c>
      <c r="O94" s="63"/>
      <c r="P94" s="74" t="s">
        <v>86</v>
      </c>
      <c r="Q94" s="72" t="s">
        <v>86</v>
      </c>
      <c r="R94" s="75" t="s">
        <v>100</v>
      </c>
      <c r="S94" s="75" t="s">
        <v>100</v>
      </c>
      <c r="T94" s="72" t="s">
        <v>113</v>
      </c>
      <c r="U94" s="72" t="s">
        <v>114</v>
      </c>
      <c r="V94" s="74" t="s">
        <v>651</v>
      </c>
      <c r="W94" s="72" t="s">
        <v>102</v>
      </c>
      <c r="X94" s="72">
        <v>0</v>
      </c>
      <c r="Y94" s="72" t="s">
        <v>104</v>
      </c>
      <c r="Z94" s="72" t="str">
        <f>VLOOKUP(D94,TIPOLOGIAS!A:F,5,0)</f>
        <v>TERRESTRE</v>
      </c>
      <c r="AA94" s="72" t="s">
        <v>545</v>
      </c>
      <c r="AB94" s="76">
        <v>2</v>
      </c>
      <c r="AC94" s="77">
        <f>IF(AND(W94="SOPORTE_TELEFÓNICO",OR(U94="SIN CONTACTO CON EL CB",U94="NÚMEROS DE CONTACTO ERRADOS")),0,IF(W94="SOPORTE_TELEFÓNICO",'BASE DE LIQUIDACION 2025'!$B$9,IF(Y94="TIPO I",'BASE DE LIQUIDACION 2025'!$C$3,IF(Y94="TIPO II",'BASE DE LIQUIDACION 2025'!$C$4,IF(Y94="TIPO III",'BASE DE LIQUIDACION 2025'!$C$5,'BASE DE LIQUIDACION 2025'!$C$6)))))</f>
        <v>44559.563999999998</v>
      </c>
      <c r="AD94" s="77">
        <f>IF(W94="SOPORTE_TELEFÓNICO",AC94,CIERRES!AB94*CIERRES!AC94)</f>
        <v>89119.127999999997</v>
      </c>
    </row>
    <row r="95" spans="1:30" s="64" customFormat="1" ht="13.15">
      <c r="A95" s="72" t="s">
        <v>138</v>
      </c>
      <c r="B95" s="72" t="str">
        <f>VLOOKUP(A95,'CENTRO DE COSTOS'!A:D,4,FALSE)</f>
        <v>WILLIAM ASDRUBAL ROZO ROZO</v>
      </c>
      <c r="C95" s="72" t="str">
        <f>VLOOKUP(A95,'CENTRO DE COSTOS'!A:C,2,FALSE)</f>
        <v>0004-0004</v>
      </c>
      <c r="D95" s="72">
        <v>11001</v>
      </c>
      <c r="E95" s="72" t="s">
        <v>652</v>
      </c>
      <c r="F95" s="72">
        <v>57327</v>
      </c>
      <c r="G95" s="72" t="s">
        <v>80</v>
      </c>
      <c r="H95" s="72" t="s">
        <v>140</v>
      </c>
      <c r="I95" s="72" t="s">
        <v>138</v>
      </c>
      <c r="J95" s="72" t="s">
        <v>179</v>
      </c>
      <c r="K95" s="72" t="s">
        <v>84</v>
      </c>
      <c r="L95" s="72" t="s">
        <v>653</v>
      </c>
      <c r="M95" s="73">
        <v>45889.583333333336</v>
      </c>
      <c r="N95" s="73">
        <v>45896.645833333336</v>
      </c>
      <c r="O95" s="63"/>
      <c r="P95" s="74" t="s">
        <v>86</v>
      </c>
      <c r="Q95" s="72" t="s">
        <v>112</v>
      </c>
      <c r="R95" s="75" t="s">
        <v>100</v>
      </c>
      <c r="S95" s="75" t="s">
        <v>100</v>
      </c>
      <c r="T95" s="72" t="s">
        <v>89</v>
      </c>
      <c r="U95" s="72" t="s">
        <v>90</v>
      </c>
      <c r="V95" s="74" t="s">
        <v>654</v>
      </c>
      <c r="W95" s="72" t="s">
        <v>102</v>
      </c>
      <c r="X95" s="72" t="s">
        <v>655</v>
      </c>
      <c r="Y95" s="72" t="s">
        <v>104</v>
      </c>
      <c r="Z95" s="72" t="str">
        <f>VLOOKUP(D95,TIPOLOGIAS!A:F,5,0)</f>
        <v>TERRESTRE</v>
      </c>
      <c r="AA95" s="72" t="s">
        <v>164</v>
      </c>
      <c r="AB95" s="76">
        <v>1</v>
      </c>
      <c r="AC95" s="77">
        <f>IF(AND(W95="SOPORTE_TELEFÓNICO",OR(U95="SIN CONTACTO CON EL CB",U95="NÚMEROS DE CONTACTO ERRADOS")),0,IF(W95="SOPORTE_TELEFÓNICO",'BASE DE LIQUIDACION 2025'!$B$9,IF(Y95="TIPO I",'BASE DE LIQUIDACION 2025'!$C$3,IF(Y95="TIPO II",'BASE DE LIQUIDACION 2025'!$C$4,IF(Y95="TIPO III",'BASE DE LIQUIDACION 2025'!$C$5,'BASE DE LIQUIDACION 2025'!$C$6)))))</f>
        <v>44559.563999999998</v>
      </c>
      <c r="AD95" s="77">
        <f>IF(W95="SOPORTE_TELEFÓNICO",AC95,CIERRES!AB95*CIERRES!AC95)</f>
        <v>44559.563999999998</v>
      </c>
    </row>
    <row r="96" spans="1:30" s="64" customFormat="1" ht="13.15">
      <c r="A96" s="72" t="s">
        <v>138</v>
      </c>
      <c r="B96" s="72" t="str">
        <f>VLOOKUP(A96,'CENTRO DE COSTOS'!A:D,4,FALSE)</f>
        <v>WILLIAM ASDRUBAL ROZO ROZO</v>
      </c>
      <c r="C96" s="72" t="str">
        <f>VLOOKUP(A96,'CENTRO DE COSTOS'!A:C,2,FALSE)</f>
        <v>0004-0004</v>
      </c>
      <c r="D96" s="72">
        <v>11001</v>
      </c>
      <c r="E96" s="72" t="s">
        <v>656</v>
      </c>
      <c r="F96" s="72">
        <v>36751</v>
      </c>
      <c r="G96" s="72" t="s">
        <v>80</v>
      </c>
      <c r="H96" s="72" t="s">
        <v>140</v>
      </c>
      <c r="I96" s="72" t="s">
        <v>138</v>
      </c>
      <c r="J96" s="72" t="s">
        <v>657</v>
      </c>
      <c r="K96" s="72" t="s">
        <v>84</v>
      </c>
      <c r="L96" s="72" t="s">
        <v>658</v>
      </c>
      <c r="M96" s="73">
        <v>45896.515972222223</v>
      </c>
      <c r="N96" s="73">
        <v>45897.318749999999</v>
      </c>
      <c r="O96" s="63"/>
      <c r="P96" s="74" t="s">
        <v>86</v>
      </c>
      <c r="Q96" s="72" t="s">
        <v>659</v>
      </c>
      <c r="R96" s="75" t="s">
        <v>660</v>
      </c>
      <c r="S96" s="75" t="s">
        <v>661</v>
      </c>
      <c r="T96" s="72" t="s">
        <v>89</v>
      </c>
      <c r="U96" s="72" t="s">
        <v>231</v>
      </c>
      <c r="V96" s="74" t="s">
        <v>662</v>
      </c>
      <c r="W96" s="72" t="s">
        <v>102</v>
      </c>
      <c r="X96" s="72" t="s">
        <v>663</v>
      </c>
      <c r="Y96" s="72" t="s">
        <v>104</v>
      </c>
      <c r="Z96" s="72" t="str">
        <f>VLOOKUP(D96,TIPOLOGIAS!A:F,5,0)</f>
        <v>TERRESTRE</v>
      </c>
      <c r="AA96" s="72" t="s">
        <v>164</v>
      </c>
      <c r="AB96" s="76">
        <v>1</v>
      </c>
      <c r="AC96" s="77">
        <f>IF(AND(W96="SOPORTE_TELEFÓNICO",OR(U96="SIN CONTACTO CON EL CB",U96="NÚMEROS DE CONTACTO ERRADOS")),0,IF(W96="SOPORTE_TELEFÓNICO",'BASE DE LIQUIDACION 2025'!$B$9,IF(Y96="TIPO I",'BASE DE LIQUIDACION 2025'!$C$3,IF(Y96="TIPO II",'BASE DE LIQUIDACION 2025'!$C$4,IF(Y96="TIPO III",'BASE DE LIQUIDACION 2025'!$C$5,'BASE DE LIQUIDACION 2025'!$C$6)))))</f>
        <v>44559.563999999998</v>
      </c>
      <c r="AD96" s="77">
        <f>IF(W96="SOPORTE_TELEFÓNICO",AC96,CIERRES!AB96*CIERRES!AC96)</f>
        <v>44559.563999999998</v>
      </c>
    </row>
    <row r="97" spans="1:30" s="64" customFormat="1" ht="13.15">
      <c r="A97" s="72" t="s">
        <v>138</v>
      </c>
      <c r="B97" s="72" t="str">
        <f>VLOOKUP(A97,'CENTRO DE COSTOS'!A:D,4,FALSE)</f>
        <v>WILLIAM ASDRUBAL ROZO ROZO</v>
      </c>
      <c r="C97" s="72" t="str">
        <f>VLOOKUP(A97,'CENTRO DE COSTOS'!A:C,2,FALSE)</f>
        <v>0004-0004</v>
      </c>
      <c r="D97" s="72">
        <v>25398</v>
      </c>
      <c r="E97" s="72" t="s">
        <v>664</v>
      </c>
      <c r="F97" s="72">
        <v>61075</v>
      </c>
      <c r="G97" s="72" t="s">
        <v>80</v>
      </c>
      <c r="H97" s="72" t="s">
        <v>140</v>
      </c>
      <c r="I97" s="72" t="s">
        <v>665</v>
      </c>
      <c r="J97" s="72" t="s">
        <v>666</v>
      </c>
      <c r="K97" s="72" t="s">
        <v>84</v>
      </c>
      <c r="L97" s="72" t="s">
        <v>667</v>
      </c>
      <c r="M97" s="73">
        <v>45891.5625</v>
      </c>
      <c r="N97" s="73">
        <v>45897.640972222223</v>
      </c>
      <c r="O97" s="63"/>
      <c r="P97" s="74" t="s">
        <v>86</v>
      </c>
      <c r="Q97" s="72" t="s">
        <v>112</v>
      </c>
      <c r="R97" s="75" t="s">
        <v>87</v>
      </c>
      <c r="S97" s="75" t="s">
        <v>186</v>
      </c>
      <c r="T97" s="72" t="s">
        <v>113</v>
      </c>
      <c r="U97" s="72" t="s">
        <v>114</v>
      </c>
      <c r="V97" s="74" t="s">
        <v>668</v>
      </c>
      <c r="W97" s="72" t="s">
        <v>102</v>
      </c>
      <c r="X97" s="72">
        <v>0</v>
      </c>
      <c r="Y97" s="72" t="s">
        <v>116</v>
      </c>
      <c r="Z97" s="72" t="str">
        <f>VLOOKUP(D97,TIPOLOGIAS!A:F,5,0)</f>
        <v>TERRESTRE</v>
      </c>
      <c r="AA97" s="72" t="s">
        <v>351</v>
      </c>
      <c r="AB97" s="76">
        <v>1</v>
      </c>
      <c r="AC97" s="77">
        <f>IF(AND(W97="SOPORTE_TELEFÓNICO",OR(U97="SIN CONTACTO CON EL CB",U97="NÚMEROS DE CONTACTO ERRADOS")),0,IF(W97="SOPORTE_TELEFÓNICO",'BASE DE LIQUIDACION 2025'!$B$9,IF(Y97="TIPO I",'BASE DE LIQUIDACION 2025'!$C$3,IF(Y97="TIPO II",'BASE DE LIQUIDACION 2025'!$C$4,IF(Y97="TIPO III",'BASE DE LIQUIDACION 2025'!$C$5,'BASE DE LIQUIDACION 2025'!$C$6)))))</f>
        <v>222904.07200000001</v>
      </c>
      <c r="AD97" s="77">
        <f>IF(W97="SOPORTE_TELEFÓNICO",AC97,CIERRES!AB97*CIERRES!AC97)</f>
        <v>222904.07200000001</v>
      </c>
    </row>
    <row r="98" spans="1:30" s="64" customFormat="1" ht="13.15">
      <c r="A98" s="72" t="s">
        <v>78</v>
      </c>
      <c r="B98" s="72" t="str">
        <f>VLOOKUP(A98,'CENTRO DE COSTOS'!A:D,4,FALSE)</f>
        <v>JUAN SEBASTIÁN RÍOS CASTRILLÓN</v>
      </c>
      <c r="C98" s="72" t="str">
        <f>VLOOKUP(A98,'CENTRO DE COSTOS'!A:C,2,FALSE)</f>
        <v>0004-0005</v>
      </c>
      <c r="D98" s="72">
        <v>5045</v>
      </c>
      <c r="E98" s="72" t="s">
        <v>669</v>
      </c>
      <c r="F98" s="72">
        <v>41725</v>
      </c>
      <c r="G98" s="72" t="s">
        <v>80</v>
      </c>
      <c r="H98" s="72" t="s">
        <v>129</v>
      </c>
      <c r="I98" s="72" t="s">
        <v>78</v>
      </c>
      <c r="J98" s="72" t="s">
        <v>670</v>
      </c>
      <c r="K98" s="72" t="s">
        <v>84</v>
      </c>
      <c r="L98" s="72" t="s">
        <v>671</v>
      </c>
      <c r="M98" s="73">
        <v>45894.333333333336</v>
      </c>
      <c r="N98" s="73">
        <v>45897.65902777778</v>
      </c>
      <c r="O98" s="63"/>
      <c r="P98" s="74" t="s">
        <v>86</v>
      </c>
      <c r="Q98" s="72" t="s">
        <v>86</v>
      </c>
      <c r="R98" s="75" t="s">
        <v>100</v>
      </c>
      <c r="S98" s="75" t="s">
        <v>100</v>
      </c>
      <c r="T98" s="72" t="s">
        <v>89</v>
      </c>
      <c r="U98" s="72" t="s">
        <v>90</v>
      </c>
      <c r="V98" s="74" t="s">
        <v>672</v>
      </c>
      <c r="W98" s="72" t="s">
        <v>102</v>
      </c>
      <c r="X98" s="72" t="s">
        <v>673</v>
      </c>
      <c r="Y98" s="72" t="s">
        <v>104</v>
      </c>
      <c r="Z98" s="72" t="str">
        <f>VLOOKUP(D98,TIPOLOGIAS!A:F,5,0)</f>
        <v>TERRESTRE</v>
      </c>
      <c r="AA98" s="72" t="s">
        <v>674</v>
      </c>
      <c r="AB98" s="76">
        <v>1</v>
      </c>
      <c r="AC98" s="77">
        <f>IF(AND(W98="SOPORTE_TELEFÓNICO",OR(U98="SIN CONTACTO CON EL CB",U98="NÚMEROS DE CONTACTO ERRADOS")),0,IF(W98="SOPORTE_TELEFÓNICO",'BASE DE LIQUIDACION 2025'!$B$9,IF(Y98="TIPO I",'BASE DE LIQUIDACION 2025'!$C$3,IF(Y98="TIPO II",'BASE DE LIQUIDACION 2025'!$C$4,IF(Y98="TIPO III",'BASE DE LIQUIDACION 2025'!$C$5,'BASE DE LIQUIDACION 2025'!$C$6)))))</f>
        <v>44559.563999999998</v>
      </c>
      <c r="AD98" s="77">
        <f>IF(W98="SOPORTE_TELEFÓNICO",AC98,CIERRES!AB98*CIERRES!AC98)</f>
        <v>44559.563999999998</v>
      </c>
    </row>
    <row r="99" spans="1:30" s="64" customFormat="1" ht="13.15">
      <c r="A99" s="72" t="s">
        <v>530</v>
      </c>
      <c r="B99" s="72" t="str">
        <f>VLOOKUP(A99,'CENTRO DE COSTOS'!A:D,4,FALSE)</f>
        <v>DIEGO FERNANDO HENAO CARDONA</v>
      </c>
      <c r="C99" s="72" t="str">
        <f>VLOOKUP(A99,'CENTRO DE COSTOS'!A:C,2,FALSE)</f>
        <v>0004-0002</v>
      </c>
      <c r="D99" s="72">
        <v>63594</v>
      </c>
      <c r="E99" s="72" t="s">
        <v>675</v>
      </c>
      <c r="F99" s="72">
        <v>67248</v>
      </c>
      <c r="G99" s="72" t="s">
        <v>80</v>
      </c>
      <c r="H99" s="72" t="s">
        <v>532</v>
      </c>
      <c r="I99" s="72" t="s">
        <v>676</v>
      </c>
      <c r="J99" s="72" t="s">
        <v>677</v>
      </c>
      <c r="K99" s="72" t="s">
        <v>84</v>
      </c>
      <c r="L99" s="72" t="s">
        <v>678</v>
      </c>
      <c r="M99" s="73">
        <v>45895.333333333336</v>
      </c>
      <c r="N99" s="73">
        <v>45898.456250000003</v>
      </c>
      <c r="O99" s="63"/>
      <c r="P99" s="74" t="s">
        <v>86</v>
      </c>
      <c r="Q99" s="72" t="s">
        <v>86</v>
      </c>
      <c r="R99" s="75" t="s">
        <v>87</v>
      </c>
      <c r="S99" s="75" t="s">
        <v>88</v>
      </c>
      <c r="T99" s="72" t="s">
        <v>89</v>
      </c>
      <c r="U99" s="72" t="s">
        <v>90</v>
      </c>
      <c r="V99" s="74" t="s">
        <v>679</v>
      </c>
      <c r="W99" s="72" t="s">
        <v>102</v>
      </c>
      <c r="X99" s="72" t="s">
        <v>680</v>
      </c>
      <c r="Y99" s="72" t="s">
        <v>125</v>
      </c>
      <c r="Z99" s="72" t="str">
        <f>VLOOKUP(D99,TIPOLOGIAS!A:F,5,0)</f>
        <v>TERRESTRE</v>
      </c>
      <c r="AA99" s="72" t="s">
        <v>538</v>
      </c>
      <c r="AB99" s="76">
        <v>1</v>
      </c>
      <c r="AC99" s="77">
        <f>IF(AND(W99="SOPORTE_TELEFÓNICO",OR(U99="SIN CONTACTO CON EL CB",U99="NÚMEROS DE CONTACTO ERRADOS")),0,IF(W99="SOPORTE_TELEFÓNICO",'BASE DE LIQUIDACION 2025'!$B$9,IF(Y99="TIPO I",'BASE DE LIQUIDACION 2025'!$C$3,IF(Y99="TIPO II",'BASE DE LIQUIDACION 2025'!$C$4,IF(Y99="TIPO III",'BASE DE LIQUIDACION 2025'!$C$5,'BASE DE LIQUIDACION 2025'!$C$6)))))</f>
        <v>134410.88400000002</v>
      </c>
      <c r="AD99" s="77">
        <f>IF(W99="SOPORTE_TELEFÓNICO",AC99,CIERRES!AB99*CIERRES!AC99)</f>
        <v>134410.88400000002</v>
      </c>
    </row>
    <row r="100" spans="1:30" s="64" customFormat="1" ht="13.15">
      <c r="A100" s="72" t="s">
        <v>138</v>
      </c>
      <c r="B100" s="72" t="str">
        <f>VLOOKUP(A100,'CENTRO DE COSTOS'!A:D,4,FALSE)</f>
        <v>WILLIAM ASDRUBAL ROZO ROZO</v>
      </c>
      <c r="C100" s="72" t="str">
        <f>VLOOKUP(A100,'CENTRO DE COSTOS'!A:C,2,FALSE)</f>
        <v>0004-0004</v>
      </c>
      <c r="D100" s="72">
        <v>11001</v>
      </c>
      <c r="E100" s="72" t="s">
        <v>681</v>
      </c>
      <c r="F100" s="72">
        <v>36751</v>
      </c>
      <c r="G100" s="72" t="s">
        <v>80</v>
      </c>
      <c r="H100" s="72" t="s">
        <v>140</v>
      </c>
      <c r="I100" s="72" t="s">
        <v>138</v>
      </c>
      <c r="J100" s="72" t="s">
        <v>657</v>
      </c>
      <c r="K100" s="72" t="s">
        <v>84</v>
      </c>
      <c r="L100" s="72" t="s">
        <v>682</v>
      </c>
      <c r="M100" s="73">
        <v>45895.333333333336</v>
      </c>
      <c r="N100" s="73">
        <v>45898.527777777781</v>
      </c>
      <c r="O100" s="63"/>
      <c r="P100" s="74" t="s">
        <v>86</v>
      </c>
      <c r="Q100" s="72" t="s">
        <v>112</v>
      </c>
      <c r="R100" s="75" t="s">
        <v>660</v>
      </c>
      <c r="S100" s="75" t="s">
        <v>661</v>
      </c>
      <c r="T100" s="72" t="s">
        <v>195</v>
      </c>
      <c r="U100" s="72" t="s">
        <v>683</v>
      </c>
      <c r="V100" s="74" t="s">
        <v>684</v>
      </c>
      <c r="W100" s="72" t="s">
        <v>102</v>
      </c>
      <c r="X100" s="72" t="s">
        <v>363</v>
      </c>
      <c r="Y100" s="72" t="s">
        <v>104</v>
      </c>
      <c r="Z100" s="72" t="str">
        <f>VLOOKUP(D100,TIPOLOGIAS!A:F,5,0)</f>
        <v>TERRESTRE</v>
      </c>
      <c r="AA100" s="72" t="s">
        <v>566</v>
      </c>
      <c r="AB100" s="76">
        <v>1</v>
      </c>
      <c r="AC100" s="77">
        <f>IF(AND(W100="SOPORTE_TELEFÓNICO",OR(U100="SIN CONTACTO CON EL CB",U100="NÚMEROS DE CONTACTO ERRADOS")),0,IF(W100="SOPORTE_TELEFÓNICO",'BASE DE LIQUIDACION 2025'!$B$9,IF(Y100="TIPO I",'BASE DE LIQUIDACION 2025'!$C$3,IF(Y100="TIPO II",'BASE DE LIQUIDACION 2025'!$C$4,IF(Y100="TIPO III",'BASE DE LIQUIDACION 2025'!$C$5,'BASE DE LIQUIDACION 2025'!$C$6)))))</f>
        <v>44559.563999999998</v>
      </c>
      <c r="AD100" s="77">
        <f>IF(W100="SOPORTE_TELEFÓNICO",AC100,CIERRES!AB100*CIERRES!AC100)</f>
        <v>44559.563999999998</v>
      </c>
    </row>
    <row r="101" spans="1:30" s="64" customFormat="1" ht="13.15">
      <c r="A101" s="72" t="s">
        <v>95</v>
      </c>
      <c r="B101" s="72" t="str">
        <f>VLOOKUP(A101,'CENTRO DE COSTOS'!A:D,4,FALSE)</f>
        <v>DIEGO FERNANDO HENAO CARDONA</v>
      </c>
      <c r="C101" s="72" t="str">
        <f>VLOOKUP(A101,'CENTRO DE COSTOS'!A:C,2,FALSE)</f>
        <v>0004-0003</v>
      </c>
      <c r="D101" s="72">
        <v>76834</v>
      </c>
      <c r="E101" s="72" t="s">
        <v>685</v>
      </c>
      <c r="F101" s="72">
        <v>10782</v>
      </c>
      <c r="G101" s="72" t="s">
        <v>80</v>
      </c>
      <c r="H101" s="72" t="s">
        <v>97</v>
      </c>
      <c r="I101" s="72" t="s">
        <v>333</v>
      </c>
      <c r="J101" s="72" t="s">
        <v>686</v>
      </c>
      <c r="K101" s="72" t="s">
        <v>84</v>
      </c>
      <c r="L101" s="72" t="s">
        <v>687</v>
      </c>
      <c r="M101" s="73">
        <v>45895.333333333336</v>
      </c>
      <c r="N101" s="73">
        <v>45898.666666666664</v>
      </c>
      <c r="O101" s="63"/>
      <c r="P101" s="74" t="s">
        <v>86</v>
      </c>
      <c r="Q101" s="72" t="s">
        <v>112</v>
      </c>
      <c r="R101" s="75" t="s">
        <v>100</v>
      </c>
      <c r="S101" s="75" t="s">
        <v>100</v>
      </c>
      <c r="T101" s="72" t="s">
        <v>89</v>
      </c>
      <c r="U101" s="72" t="s">
        <v>90</v>
      </c>
      <c r="V101" s="74" t="s">
        <v>688</v>
      </c>
      <c r="W101" s="72" t="s">
        <v>102</v>
      </c>
      <c r="X101" s="72" t="s">
        <v>689</v>
      </c>
      <c r="Y101" s="72" t="s">
        <v>125</v>
      </c>
      <c r="Z101" s="72" t="str">
        <f>VLOOKUP(D101,TIPOLOGIAS!A:F,5,0)</f>
        <v>TERRESTRE</v>
      </c>
      <c r="AA101" s="72" t="s">
        <v>274</v>
      </c>
      <c r="AB101" s="76">
        <v>1</v>
      </c>
      <c r="AC101" s="77">
        <f>IF(AND(W101="SOPORTE_TELEFÓNICO",OR(U101="SIN CONTACTO CON EL CB",U101="NÚMEROS DE CONTACTO ERRADOS")),0,IF(W101="SOPORTE_TELEFÓNICO",'BASE DE LIQUIDACION 2025'!$B$9,IF(Y101="TIPO I",'BASE DE LIQUIDACION 2025'!$C$3,IF(Y101="TIPO II",'BASE DE LIQUIDACION 2025'!$C$4,IF(Y101="TIPO III",'BASE DE LIQUIDACION 2025'!$C$5,'BASE DE LIQUIDACION 2025'!$C$6)))))</f>
        <v>134410.88400000002</v>
      </c>
      <c r="AD101" s="77">
        <f>IF(W101="SOPORTE_TELEFÓNICO",AC101,CIERRES!AB101*CIERRES!AC101)</f>
        <v>134410.88400000002</v>
      </c>
    </row>
    <row r="102" spans="1:30" s="64" customFormat="1" ht="13.15">
      <c r="A102" s="72" t="s">
        <v>127</v>
      </c>
      <c r="B102" s="72" t="str">
        <f>VLOOKUP(A102,'CENTRO DE COSTOS'!A:D,4,FALSE)</f>
        <v>JUAN SEBASTIÁN RÍOS CASTRILLÓN</v>
      </c>
      <c r="C102" s="72" t="str">
        <f>VLOOKUP(A102,'CENTRO DE COSTOS'!A:C,2,FALSE)</f>
        <v>0004-0005</v>
      </c>
      <c r="D102" s="72">
        <v>5308</v>
      </c>
      <c r="E102" s="72" t="s">
        <v>690</v>
      </c>
      <c r="F102" s="72">
        <v>29502</v>
      </c>
      <c r="G102" s="72" t="s">
        <v>80</v>
      </c>
      <c r="H102" s="72" t="s">
        <v>129</v>
      </c>
      <c r="I102" s="72" t="s">
        <v>400</v>
      </c>
      <c r="J102" s="72" t="s">
        <v>401</v>
      </c>
      <c r="K102" s="72" t="s">
        <v>84</v>
      </c>
      <c r="L102" s="72" t="s">
        <v>691</v>
      </c>
      <c r="M102" s="73">
        <v>45897.701388888891</v>
      </c>
      <c r="N102" s="73">
        <v>45899.686111111114</v>
      </c>
      <c r="O102" s="63"/>
      <c r="P102" s="74" t="s">
        <v>86</v>
      </c>
      <c r="Q102" s="72" t="s">
        <v>86</v>
      </c>
      <c r="R102" s="75" t="s">
        <v>100</v>
      </c>
      <c r="S102" s="75" t="s">
        <v>100</v>
      </c>
      <c r="T102" s="72" t="s">
        <v>89</v>
      </c>
      <c r="U102" s="72" t="s">
        <v>90</v>
      </c>
      <c r="V102" s="74" t="s">
        <v>692</v>
      </c>
      <c r="W102" s="72" t="s">
        <v>92</v>
      </c>
      <c r="X102" s="72">
        <v>0</v>
      </c>
      <c r="Y102" s="72" t="s">
        <v>104</v>
      </c>
      <c r="Z102" s="72" t="str">
        <f>VLOOKUP(D102,TIPOLOGIAS!A:F,5,0)</f>
        <v>TERRESTRE</v>
      </c>
      <c r="AA102" s="72" t="s">
        <v>404</v>
      </c>
      <c r="AB102" s="76">
        <v>0</v>
      </c>
      <c r="AC102" s="77">
        <f>IF(AND(W102="SOPORTE_TELEFÓNICO",OR(U102="SIN CONTACTO CON EL CB",U102="NÚMEROS DE CONTACTO ERRADOS")),0,IF(W102="SOPORTE_TELEFÓNICO",'BASE DE LIQUIDACION 2025'!$B$9,IF(Y102="TIPO I",'BASE DE LIQUIDACION 2025'!$C$3,IF(Y102="TIPO II",'BASE DE LIQUIDACION 2025'!$C$4,IF(Y102="TIPO III",'BASE DE LIQUIDACION 2025'!$C$5,'BASE DE LIQUIDACION 2025'!$C$6)))))</f>
        <v>37904.612000000001</v>
      </c>
      <c r="AD102" s="77">
        <f>IF(W102="SOPORTE_TELEFÓNICO",AC102,CIERRES!AB102*CIERRES!AC102)</f>
        <v>37904.612000000001</v>
      </c>
    </row>
    <row r="103" spans="1:30" s="64" customFormat="1" ht="13.15">
      <c r="A103" s="72" t="s">
        <v>138</v>
      </c>
      <c r="B103" s="72" t="str">
        <f>VLOOKUP(A103,'CENTRO DE COSTOS'!A:D,4,FALSE)</f>
        <v>WILLIAM ASDRUBAL ROZO ROZO</v>
      </c>
      <c r="C103" s="72" t="str">
        <f>VLOOKUP(A103,'CENTRO DE COSTOS'!A:C,2,FALSE)</f>
        <v>0004-0004</v>
      </c>
      <c r="D103" s="72">
        <v>11001</v>
      </c>
      <c r="E103" s="72" t="s">
        <v>693</v>
      </c>
      <c r="F103" s="72">
        <v>32053</v>
      </c>
      <c r="G103" s="72" t="s">
        <v>80</v>
      </c>
      <c r="H103" s="72" t="s">
        <v>140</v>
      </c>
      <c r="I103" s="72" t="s">
        <v>138</v>
      </c>
      <c r="J103" s="72" t="s">
        <v>694</v>
      </c>
      <c r="K103" s="72" t="s">
        <v>84</v>
      </c>
      <c r="L103" s="72" t="s">
        <v>695</v>
      </c>
      <c r="M103" s="73">
        <v>45897.701388888891</v>
      </c>
      <c r="N103" s="73">
        <v>45899.688194444447</v>
      </c>
      <c r="O103" s="63"/>
      <c r="P103" s="74" t="s">
        <v>86</v>
      </c>
      <c r="Q103" s="72" t="s">
        <v>86</v>
      </c>
      <c r="R103" s="75" t="s">
        <v>100</v>
      </c>
      <c r="S103" s="75" t="s">
        <v>100</v>
      </c>
      <c r="T103" s="72" t="s">
        <v>89</v>
      </c>
      <c r="U103" s="72" t="s">
        <v>90</v>
      </c>
      <c r="V103" s="74" t="s">
        <v>696</v>
      </c>
      <c r="W103" s="72" t="s">
        <v>102</v>
      </c>
      <c r="X103" s="72">
        <v>0</v>
      </c>
      <c r="Y103" s="72" t="s">
        <v>104</v>
      </c>
      <c r="Z103" s="72" t="str">
        <f>VLOOKUP(D103,TIPOLOGIAS!A:F,5,0)</f>
        <v>TERRESTRE</v>
      </c>
      <c r="AA103" s="72" t="s">
        <v>697</v>
      </c>
      <c r="AB103" s="76">
        <v>1</v>
      </c>
      <c r="AC103" s="77">
        <f>IF(AND(W103="SOPORTE_TELEFÓNICO",OR(U103="SIN CONTACTO CON EL CB",U103="NÚMEROS DE CONTACTO ERRADOS")),0,IF(W103="SOPORTE_TELEFÓNICO",'BASE DE LIQUIDACION 2025'!$B$9,IF(Y103="TIPO I",'BASE DE LIQUIDACION 2025'!$C$3,IF(Y103="TIPO II",'BASE DE LIQUIDACION 2025'!$C$4,IF(Y103="TIPO III",'BASE DE LIQUIDACION 2025'!$C$5,'BASE DE LIQUIDACION 2025'!$C$6)))))</f>
        <v>44559.563999999998</v>
      </c>
      <c r="AD103" s="77">
        <f>IF(W103="SOPORTE_TELEFÓNICO",AC103,CIERRES!AB103*CIERRES!AC103)</f>
        <v>44559.563999999998</v>
      </c>
    </row>
    <row r="104" spans="1:30" s="64" customFormat="1" ht="13.15">
      <c r="A104" s="72" t="s">
        <v>138</v>
      </c>
      <c r="B104" s="72" t="str">
        <f>VLOOKUP(A104,'CENTRO DE COSTOS'!A:D,4,FALSE)</f>
        <v>WILLIAM ASDRUBAL ROZO ROZO</v>
      </c>
      <c r="C104" s="72" t="str">
        <f>VLOOKUP(A104,'CENTRO DE COSTOS'!A:C,2,FALSE)</f>
        <v>0004-0004</v>
      </c>
      <c r="D104" s="72">
        <v>11001</v>
      </c>
      <c r="E104" s="72" t="s">
        <v>698</v>
      </c>
      <c r="F104" s="72">
        <v>46874</v>
      </c>
      <c r="G104" s="72" t="s">
        <v>80</v>
      </c>
      <c r="H104" s="72" t="s">
        <v>140</v>
      </c>
      <c r="I104" s="72" t="s">
        <v>138</v>
      </c>
      <c r="J104" s="72" t="s">
        <v>699</v>
      </c>
      <c r="K104" s="72" t="s">
        <v>84</v>
      </c>
      <c r="L104" s="72" t="s">
        <v>700</v>
      </c>
      <c r="M104" s="73">
        <v>45897.701388888891</v>
      </c>
      <c r="N104" s="73">
        <v>45899.690972222219</v>
      </c>
      <c r="O104" s="63"/>
      <c r="P104" s="74" t="s">
        <v>86</v>
      </c>
      <c r="Q104" s="72" t="s">
        <v>112</v>
      </c>
      <c r="R104" s="75" t="s">
        <v>100</v>
      </c>
      <c r="S104" s="75" t="s">
        <v>100</v>
      </c>
      <c r="T104" s="72" t="s">
        <v>113</v>
      </c>
      <c r="U104" s="72" t="s">
        <v>114</v>
      </c>
      <c r="V104" s="74" t="s">
        <v>701</v>
      </c>
      <c r="W104" s="72" t="s">
        <v>102</v>
      </c>
      <c r="X104" s="72">
        <v>0</v>
      </c>
      <c r="Y104" s="72" t="s">
        <v>104</v>
      </c>
      <c r="Z104" s="72" t="str">
        <f>VLOOKUP(D104,TIPOLOGIAS!A:F,5,0)</f>
        <v>TERRESTRE</v>
      </c>
      <c r="AA104" s="72" t="s">
        <v>144</v>
      </c>
      <c r="AB104" s="76">
        <v>1</v>
      </c>
      <c r="AC104" s="77">
        <f>IF(AND(W104="SOPORTE_TELEFÓNICO",OR(U104="SIN CONTACTO CON EL CB",U104="NÚMEROS DE CONTACTO ERRADOS")),0,IF(W104="SOPORTE_TELEFÓNICO",'BASE DE LIQUIDACION 2025'!$B$9,IF(Y104="TIPO I",'BASE DE LIQUIDACION 2025'!$C$3,IF(Y104="TIPO II",'BASE DE LIQUIDACION 2025'!$C$4,IF(Y104="TIPO III",'BASE DE LIQUIDACION 2025'!$C$5,'BASE DE LIQUIDACION 2025'!$C$6)))))</f>
        <v>44559.563999999998</v>
      </c>
      <c r="AD104" s="77">
        <f>IF(W104="SOPORTE_TELEFÓNICO",AC104,CIERRES!AB104*CIERRES!AC104)</f>
        <v>44559.563999999998</v>
      </c>
    </row>
    <row r="105" spans="1:30" s="64" customFormat="1" ht="13.15">
      <c r="A105" s="72" t="s">
        <v>138</v>
      </c>
      <c r="B105" s="72" t="str">
        <f>VLOOKUP(A105,'CENTRO DE COSTOS'!A:D,4,FALSE)</f>
        <v>WILLIAM ASDRUBAL ROZO ROZO</v>
      </c>
      <c r="C105" s="72" t="str">
        <f>VLOOKUP(A105,'CENTRO DE COSTOS'!A:C,2,FALSE)</f>
        <v>0004-0004</v>
      </c>
      <c r="D105" s="72">
        <v>11001</v>
      </c>
      <c r="E105" s="72" t="s">
        <v>702</v>
      </c>
      <c r="F105" s="72">
        <v>38177</v>
      </c>
      <c r="G105" s="72" t="s">
        <v>80</v>
      </c>
      <c r="H105" s="72" t="s">
        <v>140</v>
      </c>
      <c r="I105" s="72" t="s">
        <v>138</v>
      </c>
      <c r="J105" s="72" t="s">
        <v>703</v>
      </c>
      <c r="K105" s="72" t="s">
        <v>84</v>
      </c>
      <c r="L105" s="72" t="s">
        <v>704</v>
      </c>
      <c r="M105" s="73">
        <v>45897.701388888891</v>
      </c>
      <c r="N105" s="73">
        <v>45899.695138888892</v>
      </c>
      <c r="O105" s="63"/>
      <c r="P105" s="74" t="s">
        <v>86</v>
      </c>
      <c r="Q105" s="72" t="s">
        <v>86</v>
      </c>
      <c r="R105" s="75" t="s">
        <v>100</v>
      </c>
      <c r="S105" s="75" t="s">
        <v>100</v>
      </c>
      <c r="T105" s="72" t="s">
        <v>113</v>
      </c>
      <c r="U105" s="72" t="s">
        <v>114</v>
      </c>
      <c r="V105" s="74" t="s">
        <v>705</v>
      </c>
      <c r="W105" s="72" t="s">
        <v>102</v>
      </c>
      <c r="X105" s="72">
        <v>0</v>
      </c>
      <c r="Y105" s="72" t="s">
        <v>104</v>
      </c>
      <c r="Z105" s="72" t="str">
        <f>VLOOKUP(D105,TIPOLOGIAS!A:F,5,0)</f>
        <v>TERRESTRE</v>
      </c>
      <c r="AA105" s="72" t="s">
        <v>706</v>
      </c>
      <c r="AB105" s="76">
        <v>1</v>
      </c>
      <c r="AC105" s="77">
        <f>IF(AND(W105="SOPORTE_TELEFÓNICO",OR(U105="SIN CONTACTO CON EL CB",U105="NÚMEROS DE CONTACTO ERRADOS")),0,IF(W105="SOPORTE_TELEFÓNICO",'BASE DE LIQUIDACION 2025'!$B$9,IF(Y105="TIPO I",'BASE DE LIQUIDACION 2025'!$C$3,IF(Y105="TIPO II",'BASE DE LIQUIDACION 2025'!$C$4,IF(Y105="TIPO III",'BASE DE LIQUIDACION 2025'!$C$5,'BASE DE LIQUIDACION 2025'!$C$6)))))</f>
        <v>44559.563999999998</v>
      </c>
      <c r="AD105" s="77">
        <f>IF(W105="SOPORTE_TELEFÓNICO",AC105,CIERRES!AB105*CIERRES!AC105)</f>
        <v>44559.563999999998</v>
      </c>
    </row>
    <row r="106" spans="1:30" s="64" customFormat="1" ht="13.15">
      <c r="A106" s="72" t="s">
        <v>247</v>
      </c>
      <c r="B106" s="72" t="str">
        <f>VLOOKUP(A106,'CENTRO DE COSTOS'!A:D,4,FALSE)</f>
        <v>MIGUEL JULIÁN HERNÁNDEZ GUARÍN</v>
      </c>
      <c r="C106" s="72" t="str">
        <f>VLOOKUP(A106,'CENTRO DE COSTOS'!A:C,2,FALSE)</f>
        <v>0004-0008</v>
      </c>
      <c r="D106" s="72">
        <v>54001</v>
      </c>
      <c r="E106" s="72" t="s">
        <v>707</v>
      </c>
      <c r="F106" s="72">
        <v>73339</v>
      </c>
      <c r="G106" s="72" t="s">
        <v>80</v>
      </c>
      <c r="H106" s="72" t="s">
        <v>249</v>
      </c>
      <c r="I106" s="72" t="s">
        <v>247</v>
      </c>
      <c r="J106" s="72" t="s">
        <v>708</v>
      </c>
      <c r="K106" s="72" t="s">
        <v>84</v>
      </c>
      <c r="L106" s="72" t="s">
        <v>709</v>
      </c>
      <c r="M106" s="73">
        <v>45897.701388888891</v>
      </c>
      <c r="N106" s="73">
        <v>45899.7</v>
      </c>
      <c r="O106" s="63"/>
      <c r="P106" s="74" t="s">
        <v>86</v>
      </c>
      <c r="Q106" s="72" t="s">
        <v>86</v>
      </c>
      <c r="R106" s="75" t="s">
        <v>100</v>
      </c>
      <c r="S106" s="75" t="s">
        <v>100</v>
      </c>
      <c r="T106" s="72" t="s">
        <v>113</v>
      </c>
      <c r="U106" s="72" t="s">
        <v>114</v>
      </c>
      <c r="V106" s="74" t="s">
        <v>710</v>
      </c>
      <c r="W106" s="72" t="s">
        <v>102</v>
      </c>
      <c r="X106" s="72">
        <v>0</v>
      </c>
      <c r="Y106" s="72" t="s">
        <v>104</v>
      </c>
      <c r="Z106" s="72" t="str">
        <f>VLOOKUP(D106,TIPOLOGIAS!A:F,5,0)</f>
        <v>TERRESTRE</v>
      </c>
      <c r="AA106" s="72" t="s">
        <v>254</v>
      </c>
      <c r="AB106" s="76">
        <v>1</v>
      </c>
      <c r="AC106" s="77">
        <f>IF(AND(W106="SOPORTE_TELEFÓNICO",OR(U106="SIN CONTACTO CON EL CB",U106="NÚMEROS DE CONTACTO ERRADOS")),0,IF(W106="SOPORTE_TELEFÓNICO",'BASE DE LIQUIDACION 2025'!$B$9,IF(Y106="TIPO I",'BASE DE LIQUIDACION 2025'!$C$3,IF(Y106="TIPO II",'BASE DE LIQUIDACION 2025'!$C$4,IF(Y106="TIPO III",'BASE DE LIQUIDACION 2025'!$C$5,'BASE DE LIQUIDACION 2025'!$C$6)))))</f>
        <v>44559.563999999998</v>
      </c>
      <c r="AD106" s="77">
        <f>IF(W106="SOPORTE_TELEFÓNICO",AC106,CIERRES!AB106*CIERRES!AC106)</f>
        <v>44559.563999999998</v>
      </c>
    </row>
    <row r="107" spans="1:30">
      <c r="AD107" s="60">
        <f>SUM(AD2:AD106)</f>
        <v>11052804.335999992</v>
      </c>
    </row>
  </sheetData>
  <conditionalFormatting sqref="E2:E106">
    <cfRule type="duplicateValues" dxfId="0" priority="81"/>
  </conditionalFormatting>
  <dataValidations count="1">
    <dataValidation type="list" allowBlank="1" showInputMessage="1" showErrorMessage="1" sqref="U15" xr:uid="{5333E0A0-9E94-4AC2-AF89-304F5825A5ED}">
      <formula1>INDIRECT(T15)</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48CE4-747E-4F88-8BDE-26A1E1ABDAE2}">
  <dimension ref="A1:F1124"/>
  <sheetViews>
    <sheetView topLeftCell="A1064" workbookViewId="0">
      <selection activeCell="B1081" sqref="B1081"/>
    </sheetView>
  </sheetViews>
  <sheetFormatPr defaultColWidth="8.85546875" defaultRowHeight="14.45"/>
  <cols>
    <col min="1" max="6" width="17.28515625" customWidth="1"/>
  </cols>
  <sheetData>
    <row r="1" spans="1:6" ht="42">
      <c r="A1" s="26" t="s">
        <v>711</v>
      </c>
      <c r="B1" s="27" t="s">
        <v>56</v>
      </c>
      <c r="C1" s="27" t="s">
        <v>55</v>
      </c>
      <c r="D1" s="27" t="s">
        <v>712</v>
      </c>
      <c r="E1" s="28" t="s">
        <v>713</v>
      </c>
      <c r="F1" s="28" t="s">
        <v>714</v>
      </c>
    </row>
    <row r="2" spans="1:6">
      <c r="A2" s="29">
        <v>91430</v>
      </c>
      <c r="B2" s="30" t="s">
        <v>715</v>
      </c>
      <c r="C2" s="31" t="s">
        <v>716</v>
      </c>
      <c r="D2" s="31" t="s">
        <v>138</v>
      </c>
      <c r="E2" s="31" t="s">
        <v>717</v>
      </c>
      <c r="F2" s="32" t="s">
        <v>93</v>
      </c>
    </row>
    <row r="3" spans="1:6">
      <c r="A3" s="29">
        <v>91669</v>
      </c>
      <c r="B3" s="30" t="s">
        <v>718</v>
      </c>
      <c r="C3" s="31" t="s">
        <v>716</v>
      </c>
      <c r="D3" s="31" t="s">
        <v>138</v>
      </c>
      <c r="E3" s="31" t="s">
        <v>717</v>
      </c>
      <c r="F3" s="32" t="s">
        <v>93</v>
      </c>
    </row>
    <row r="4" spans="1:6">
      <c r="A4" s="29">
        <v>91263</v>
      </c>
      <c r="B4" s="31" t="s">
        <v>719</v>
      </c>
      <c r="C4" s="31" t="s">
        <v>716</v>
      </c>
      <c r="D4" s="31" t="s">
        <v>138</v>
      </c>
      <c r="E4" s="31" t="s">
        <v>717</v>
      </c>
      <c r="F4" s="32" t="s">
        <v>93</v>
      </c>
    </row>
    <row r="5" spans="1:6">
      <c r="A5" s="29">
        <v>91405</v>
      </c>
      <c r="B5" s="31" t="s">
        <v>720</v>
      </c>
      <c r="C5" s="31" t="s">
        <v>716</v>
      </c>
      <c r="D5" s="31" t="s">
        <v>138</v>
      </c>
      <c r="E5" s="31" t="s">
        <v>717</v>
      </c>
      <c r="F5" s="32" t="s">
        <v>93</v>
      </c>
    </row>
    <row r="6" spans="1:6">
      <c r="A6" s="29">
        <v>91407</v>
      </c>
      <c r="B6" s="31" t="s">
        <v>721</v>
      </c>
      <c r="C6" s="31" t="s">
        <v>716</v>
      </c>
      <c r="D6" s="31" t="s">
        <v>138</v>
      </c>
      <c r="E6" s="31" t="s">
        <v>717</v>
      </c>
      <c r="F6" s="32" t="s">
        <v>93</v>
      </c>
    </row>
    <row r="7" spans="1:6">
      <c r="A7" s="29">
        <v>91001</v>
      </c>
      <c r="B7" s="31" t="s">
        <v>722</v>
      </c>
      <c r="C7" s="31" t="s">
        <v>716</v>
      </c>
      <c r="D7" s="31" t="s">
        <v>138</v>
      </c>
      <c r="E7" s="31" t="s">
        <v>717</v>
      </c>
      <c r="F7" s="32" t="s">
        <v>93</v>
      </c>
    </row>
    <row r="8" spans="1:6">
      <c r="A8" s="29">
        <v>91460</v>
      </c>
      <c r="B8" s="31" t="s">
        <v>723</v>
      </c>
      <c r="C8" s="31" t="s">
        <v>716</v>
      </c>
      <c r="D8" s="31" t="s">
        <v>138</v>
      </c>
      <c r="E8" s="31" t="s">
        <v>717</v>
      </c>
      <c r="F8" s="32" t="s">
        <v>93</v>
      </c>
    </row>
    <row r="9" spans="1:6">
      <c r="A9" s="29">
        <v>91530</v>
      </c>
      <c r="B9" s="31" t="s">
        <v>724</v>
      </c>
      <c r="C9" s="31" t="s">
        <v>716</v>
      </c>
      <c r="D9" s="31" t="s">
        <v>138</v>
      </c>
      <c r="E9" s="31" t="s">
        <v>717</v>
      </c>
      <c r="F9" s="32" t="s">
        <v>93</v>
      </c>
    </row>
    <row r="10" spans="1:6">
      <c r="A10" s="29">
        <v>91536</v>
      </c>
      <c r="B10" s="31" t="s">
        <v>725</v>
      </c>
      <c r="C10" s="31" t="s">
        <v>716</v>
      </c>
      <c r="D10" s="31" t="s">
        <v>138</v>
      </c>
      <c r="E10" s="31" t="s">
        <v>717</v>
      </c>
      <c r="F10" s="32" t="s">
        <v>93</v>
      </c>
    </row>
    <row r="11" spans="1:6">
      <c r="A11" s="29">
        <v>91540</v>
      </c>
      <c r="B11" s="31" t="s">
        <v>726</v>
      </c>
      <c r="C11" s="31" t="s">
        <v>716</v>
      </c>
      <c r="D11" s="31" t="s">
        <v>138</v>
      </c>
      <c r="E11" s="31" t="s">
        <v>717</v>
      </c>
      <c r="F11" s="32" t="s">
        <v>93</v>
      </c>
    </row>
    <row r="12" spans="1:6">
      <c r="A12" s="29">
        <v>91798</v>
      </c>
      <c r="B12" s="31" t="s">
        <v>727</v>
      </c>
      <c r="C12" s="31" t="s">
        <v>716</v>
      </c>
      <c r="D12" s="31" t="s">
        <v>138</v>
      </c>
      <c r="E12" s="31" t="s">
        <v>717</v>
      </c>
      <c r="F12" s="32" t="s">
        <v>93</v>
      </c>
    </row>
    <row r="13" spans="1:6">
      <c r="A13" s="29">
        <v>5055</v>
      </c>
      <c r="B13" s="30" t="s">
        <v>728</v>
      </c>
      <c r="C13" s="31" t="s">
        <v>129</v>
      </c>
      <c r="D13" s="31" t="s">
        <v>127</v>
      </c>
      <c r="E13" s="31" t="s">
        <v>729</v>
      </c>
      <c r="F13" s="32" t="s">
        <v>176</v>
      </c>
    </row>
    <row r="14" spans="1:6">
      <c r="A14" s="29">
        <v>5059</v>
      </c>
      <c r="B14" s="30" t="s">
        <v>130</v>
      </c>
      <c r="C14" s="31" t="s">
        <v>129</v>
      </c>
      <c r="D14" s="31" t="s">
        <v>127</v>
      </c>
      <c r="E14" s="31" t="s">
        <v>729</v>
      </c>
      <c r="F14" s="32" t="s">
        <v>125</v>
      </c>
    </row>
    <row r="15" spans="1:6">
      <c r="A15" s="29">
        <v>5079</v>
      </c>
      <c r="B15" s="30" t="s">
        <v>730</v>
      </c>
      <c r="C15" s="31" t="s">
        <v>129</v>
      </c>
      <c r="D15" s="31" t="s">
        <v>127</v>
      </c>
      <c r="E15" s="31" t="s">
        <v>729</v>
      </c>
      <c r="F15" s="32" t="s">
        <v>125</v>
      </c>
    </row>
    <row r="16" spans="1:6">
      <c r="A16" s="29">
        <v>5093</v>
      </c>
      <c r="B16" s="30" t="s">
        <v>731</v>
      </c>
      <c r="C16" s="31" t="s">
        <v>129</v>
      </c>
      <c r="D16" s="31" t="s">
        <v>127</v>
      </c>
      <c r="E16" s="31" t="s">
        <v>729</v>
      </c>
      <c r="F16" s="32" t="s">
        <v>116</v>
      </c>
    </row>
    <row r="17" spans="1:6">
      <c r="A17" s="29">
        <v>5107</v>
      </c>
      <c r="B17" s="30" t="s">
        <v>732</v>
      </c>
      <c r="C17" s="31" t="s">
        <v>129</v>
      </c>
      <c r="D17" s="31" t="s">
        <v>127</v>
      </c>
      <c r="E17" s="31" t="s">
        <v>729</v>
      </c>
      <c r="F17" s="32" t="s">
        <v>116</v>
      </c>
    </row>
    <row r="18" spans="1:6">
      <c r="A18" s="29">
        <v>5129</v>
      </c>
      <c r="B18" s="30" t="s">
        <v>733</v>
      </c>
      <c r="C18" s="31" t="s">
        <v>129</v>
      </c>
      <c r="D18" s="31" t="s">
        <v>127</v>
      </c>
      <c r="E18" s="31" t="s">
        <v>729</v>
      </c>
      <c r="F18" s="32" t="s">
        <v>104</v>
      </c>
    </row>
    <row r="19" spans="1:6">
      <c r="A19" s="29">
        <v>5206</v>
      </c>
      <c r="B19" s="30" t="s">
        <v>734</v>
      </c>
      <c r="C19" s="31" t="s">
        <v>129</v>
      </c>
      <c r="D19" s="31" t="s">
        <v>127</v>
      </c>
      <c r="E19" s="31" t="s">
        <v>729</v>
      </c>
      <c r="F19" s="32" t="s">
        <v>125</v>
      </c>
    </row>
    <row r="20" spans="1:6">
      <c r="A20" s="29">
        <v>5209</v>
      </c>
      <c r="B20" s="30" t="s">
        <v>735</v>
      </c>
      <c r="C20" s="31" t="s">
        <v>129</v>
      </c>
      <c r="D20" s="31" t="s">
        <v>127</v>
      </c>
      <c r="E20" s="31" t="s">
        <v>729</v>
      </c>
      <c r="F20" s="32" t="s">
        <v>116</v>
      </c>
    </row>
    <row r="21" spans="1:6">
      <c r="A21" s="29">
        <v>5313</v>
      </c>
      <c r="B21" s="30" t="s">
        <v>736</v>
      </c>
      <c r="C21" s="31" t="s">
        <v>129</v>
      </c>
      <c r="D21" s="31" t="s">
        <v>127</v>
      </c>
      <c r="E21" s="31" t="s">
        <v>729</v>
      </c>
      <c r="F21" s="32" t="s">
        <v>125</v>
      </c>
    </row>
    <row r="22" spans="1:6">
      <c r="A22" s="29">
        <v>5315</v>
      </c>
      <c r="B22" s="30" t="s">
        <v>737</v>
      </c>
      <c r="C22" s="31" t="s">
        <v>129</v>
      </c>
      <c r="D22" s="31" t="s">
        <v>127</v>
      </c>
      <c r="E22" s="31" t="s">
        <v>729</v>
      </c>
      <c r="F22" s="32" t="s">
        <v>116</v>
      </c>
    </row>
    <row r="23" spans="1:6">
      <c r="A23" s="29">
        <v>5368</v>
      </c>
      <c r="B23" s="30" t="s">
        <v>738</v>
      </c>
      <c r="C23" s="31" t="s">
        <v>129</v>
      </c>
      <c r="D23" s="31" t="s">
        <v>127</v>
      </c>
      <c r="E23" s="31" t="s">
        <v>729</v>
      </c>
      <c r="F23" s="32" t="s">
        <v>116</v>
      </c>
    </row>
    <row r="24" spans="1:6">
      <c r="A24" s="29">
        <v>5400</v>
      </c>
      <c r="B24" s="30" t="s">
        <v>739</v>
      </c>
      <c r="C24" s="31" t="s">
        <v>129</v>
      </c>
      <c r="D24" s="31" t="s">
        <v>127</v>
      </c>
      <c r="E24" s="31" t="s">
        <v>729</v>
      </c>
      <c r="F24" s="32" t="s">
        <v>125</v>
      </c>
    </row>
    <row r="25" spans="1:6">
      <c r="A25" s="29">
        <v>5483</v>
      </c>
      <c r="B25" s="30" t="s">
        <v>241</v>
      </c>
      <c r="C25" s="31" t="s">
        <v>129</v>
      </c>
      <c r="D25" s="31" t="s">
        <v>127</v>
      </c>
      <c r="E25" s="31" t="s">
        <v>729</v>
      </c>
      <c r="F25" s="32" t="s">
        <v>176</v>
      </c>
    </row>
    <row r="26" spans="1:6">
      <c r="A26" s="29">
        <v>5615</v>
      </c>
      <c r="B26" s="30" t="s">
        <v>740</v>
      </c>
      <c r="C26" s="31" t="s">
        <v>129</v>
      </c>
      <c r="D26" s="31" t="s">
        <v>127</v>
      </c>
      <c r="E26" s="31" t="s">
        <v>729</v>
      </c>
      <c r="F26" s="32" t="s">
        <v>125</v>
      </c>
    </row>
    <row r="27" spans="1:6">
      <c r="A27" s="29">
        <v>5628</v>
      </c>
      <c r="B27" s="30" t="s">
        <v>741</v>
      </c>
      <c r="C27" s="31" t="s">
        <v>129</v>
      </c>
      <c r="D27" s="31" t="s">
        <v>127</v>
      </c>
      <c r="E27" s="31" t="s">
        <v>729</v>
      </c>
      <c r="F27" s="32" t="s">
        <v>116</v>
      </c>
    </row>
    <row r="28" spans="1:6">
      <c r="A28" s="29">
        <v>5649</v>
      </c>
      <c r="B28" s="30" t="s">
        <v>742</v>
      </c>
      <c r="C28" s="31" t="s">
        <v>129</v>
      </c>
      <c r="D28" s="31" t="s">
        <v>127</v>
      </c>
      <c r="E28" s="31" t="s">
        <v>729</v>
      </c>
      <c r="F28" s="32" t="s">
        <v>116</v>
      </c>
    </row>
    <row r="29" spans="1:6">
      <c r="A29" s="29">
        <v>5652</v>
      </c>
      <c r="B29" s="30" t="s">
        <v>743</v>
      </c>
      <c r="C29" s="31" t="s">
        <v>129</v>
      </c>
      <c r="D29" s="31" t="s">
        <v>127</v>
      </c>
      <c r="E29" s="31" t="s">
        <v>729</v>
      </c>
      <c r="F29" s="32" t="s">
        <v>116</v>
      </c>
    </row>
    <row r="30" spans="1:6">
      <c r="A30" s="29">
        <v>5660</v>
      </c>
      <c r="B30" s="30" t="s">
        <v>618</v>
      </c>
      <c r="C30" s="31" t="s">
        <v>129</v>
      </c>
      <c r="D30" s="31" t="s">
        <v>127</v>
      </c>
      <c r="E30" s="31" t="s">
        <v>729</v>
      </c>
      <c r="F30" s="32" t="s">
        <v>116</v>
      </c>
    </row>
    <row r="31" spans="1:6">
      <c r="A31" s="29">
        <v>5664</v>
      </c>
      <c r="B31" s="30" t="s">
        <v>744</v>
      </c>
      <c r="C31" s="31" t="s">
        <v>129</v>
      </c>
      <c r="D31" s="31" t="s">
        <v>127</v>
      </c>
      <c r="E31" s="31" t="s">
        <v>729</v>
      </c>
      <c r="F31" s="32" t="s">
        <v>125</v>
      </c>
    </row>
    <row r="32" spans="1:6">
      <c r="A32" s="29">
        <v>5679</v>
      </c>
      <c r="B32" s="30" t="s">
        <v>745</v>
      </c>
      <c r="C32" s="31" t="s">
        <v>129</v>
      </c>
      <c r="D32" s="31" t="s">
        <v>127</v>
      </c>
      <c r="E32" s="31" t="s">
        <v>729</v>
      </c>
      <c r="F32" s="32" t="s">
        <v>125</v>
      </c>
    </row>
    <row r="33" spans="1:6">
      <c r="A33" s="29">
        <v>5819</v>
      </c>
      <c r="B33" s="30" t="s">
        <v>746</v>
      </c>
      <c r="C33" s="31" t="s">
        <v>129</v>
      </c>
      <c r="D33" s="31" t="s">
        <v>127</v>
      </c>
      <c r="E33" s="31" t="s">
        <v>729</v>
      </c>
      <c r="F33" s="32" t="s">
        <v>176</v>
      </c>
    </row>
    <row r="34" spans="1:6">
      <c r="A34" s="29">
        <v>5856</v>
      </c>
      <c r="B34" s="30" t="s">
        <v>747</v>
      </c>
      <c r="C34" s="31" t="s">
        <v>129</v>
      </c>
      <c r="D34" s="31" t="s">
        <v>127</v>
      </c>
      <c r="E34" s="31" t="s">
        <v>729</v>
      </c>
      <c r="F34" s="32" t="s">
        <v>116</v>
      </c>
    </row>
    <row r="35" spans="1:6">
      <c r="A35" s="29">
        <v>5861</v>
      </c>
      <c r="B35" s="30" t="s">
        <v>748</v>
      </c>
      <c r="C35" s="31" t="s">
        <v>129</v>
      </c>
      <c r="D35" s="31" t="s">
        <v>127</v>
      </c>
      <c r="E35" s="31" t="s">
        <v>729</v>
      </c>
      <c r="F35" s="32" t="s">
        <v>125</v>
      </c>
    </row>
    <row r="36" spans="1:6">
      <c r="A36" s="29">
        <v>5002</v>
      </c>
      <c r="B36" s="31" t="s">
        <v>749</v>
      </c>
      <c r="C36" s="31" t="s">
        <v>129</v>
      </c>
      <c r="D36" s="31" t="s">
        <v>127</v>
      </c>
      <c r="E36" s="31" t="s">
        <v>729</v>
      </c>
      <c r="F36" s="32" t="s">
        <v>116</v>
      </c>
    </row>
    <row r="37" spans="1:6">
      <c r="A37" s="29">
        <v>5004</v>
      </c>
      <c r="B37" s="31" t="s">
        <v>750</v>
      </c>
      <c r="C37" s="31" t="s">
        <v>129</v>
      </c>
      <c r="D37" s="31" t="s">
        <v>127</v>
      </c>
      <c r="E37" s="31" t="s">
        <v>729</v>
      </c>
      <c r="F37" s="32" t="s">
        <v>176</v>
      </c>
    </row>
    <row r="38" spans="1:6">
      <c r="A38" s="29">
        <v>5021</v>
      </c>
      <c r="B38" s="31" t="s">
        <v>751</v>
      </c>
      <c r="C38" s="31" t="s">
        <v>129</v>
      </c>
      <c r="D38" s="31" t="s">
        <v>127</v>
      </c>
      <c r="E38" s="31" t="s">
        <v>729</v>
      </c>
      <c r="F38" s="32" t="s">
        <v>116</v>
      </c>
    </row>
    <row r="39" spans="1:6">
      <c r="A39" s="29">
        <v>5030</v>
      </c>
      <c r="B39" s="31" t="s">
        <v>752</v>
      </c>
      <c r="C39" s="31" t="s">
        <v>129</v>
      </c>
      <c r="D39" s="31" t="s">
        <v>127</v>
      </c>
      <c r="E39" s="31" t="s">
        <v>729</v>
      </c>
      <c r="F39" s="32" t="s">
        <v>125</v>
      </c>
    </row>
    <row r="40" spans="1:6">
      <c r="A40" s="29">
        <v>5031</v>
      </c>
      <c r="B40" s="31" t="s">
        <v>753</v>
      </c>
      <c r="C40" s="31" t="s">
        <v>129</v>
      </c>
      <c r="D40" s="31" t="s">
        <v>127</v>
      </c>
      <c r="E40" s="31" t="s">
        <v>729</v>
      </c>
      <c r="F40" s="32" t="s">
        <v>176</v>
      </c>
    </row>
    <row r="41" spans="1:6">
      <c r="A41" s="29">
        <v>5034</v>
      </c>
      <c r="B41" s="31" t="s">
        <v>754</v>
      </c>
      <c r="C41" s="31" t="s">
        <v>129</v>
      </c>
      <c r="D41" s="31" t="s">
        <v>127</v>
      </c>
      <c r="E41" s="31" t="s">
        <v>729</v>
      </c>
      <c r="F41" s="32" t="s">
        <v>116</v>
      </c>
    </row>
    <row r="42" spans="1:6">
      <c r="A42" s="29">
        <v>5036</v>
      </c>
      <c r="B42" s="31" t="s">
        <v>755</v>
      </c>
      <c r="C42" s="31" t="s">
        <v>129</v>
      </c>
      <c r="D42" s="31" t="s">
        <v>127</v>
      </c>
      <c r="E42" s="31" t="s">
        <v>729</v>
      </c>
      <c r="F42" s="32" t="s">
        <v>125</v>
      </c>
    </row>
    <row r="43" spans="1:6">
      <c r="A43" s="29">
        <v>5038</v>
      </c>
      <c r="B43" s="31" t="s">
        <v>756</v>
      </c>
      <c r="C43" s="31" t="s">
        <v>129</v>
      </c>
      <c r="D43" s="31" t="s">
        <v>127</v>
      </c>
      <c r="E43" s="31" t="s">
        <v>729</v>
      </c>
      <c r="F43" s="32" t="s">
        <v>116</v>
      </c>
    </row>
    <row r="44" spans="1:6">
      <c r="A44" s="29">
        <v>5040</v>
      </c>
      <c r="B44" s="31" t="s">
        <v>757</v>
      </c>
      <c r="C44" s="31" t="s">
        <v>129</v>
      </c>
      <c r="D44" s="31" t="s">
        <v>127</v>
      </c>
      <c r="E44" s="31" t="s">
        <v>729</v>
      </c>
      <c r="F44" s="32" t="s">
        <v>176</v>
      </c>
    </row>
    <row r="45" spans="1:6">
      <c r="A45" s="29">
        <v>5044</v>
      </c>
      <c r="B45" s="31" t="s">
        <v>758</v>
      </c>
      <c r="C45" s="31" t="s">
        <v>129</v>
      </c>
      <c r="D45" s="31" t="s">
        <v>127</v>
      </c>
      <c r="E45" s="31" t="s">
        <v>729</v>
      </c>
      <c r="F45" s="32" t="s">
        <v>116</v>
      </c>
    </row>
    <row r="46" spans="1:6">
      <c r="A46" s="29">
        <v>5045</v>
      </c>
      <c r="B46" s="31" t="s">
        <v>78</v>
      </c>
      <c r="C46" s="31" t="s">
        <v>129</v>
      </c>
      <c r="D46" s="31" t="s">
        <v>78</v>
      </c>
      <c r="E46" s="31" t="s">
        <v>729</v>
      </c>
      <c r="F46" s="32" t="s">
        <v>104</v>
      </c>
    </row>
    <row r="47" spans="1:6">
      <c r="A47" s="29">
        <v>5051</v>
      </c>
      <c r="B47" s="31" t="s">
        <v>759</v>
      </c>
      <c r="C47" s="31" t="s">
        <v>129</v>
      </c>
      <c r="D47" s="31" t="s">
        <v>338</v>
      </c>
      <c r="E47" s="31" t="s">
        <v>729</v>
      </c>
      <c r="F47" s="32" t="s">
        <v>125</v>
      </c>
    </row>
    <row r="48" spans="1:6">
      <c r="A48" s="29">
        <v>5088</v>
      </c>
      <c r="B48" s="31" t="s">
        <v>446</v>
      </c>
      <c r="C48" s="31" t="s">
        <v>129</v>
      </c>
      <c r="D48" s="31" t="s">
        <v>127</v>
      </c>
      <c r="E48" s="31" t="s">
        <v>729</v>
      </c>
      <c r="F48" s="32" t="s">
        <v>104</v>
      </c>
    </row>
    <row r="49" spans="1:6">
      <c r="A49" s="29">
        <v>5086</v>
      </c>
      <c r="B49" s="31" t="s">
        <v>760</v>
      </c>
      <c r="C49" s="31" t="s">
        <v>129</v>
      </c>
      <c r="D49" s="31" t="s">
        <v>127</v>
      </c>
      <c r="E49" s="31" t="s">
        <v>729</v>
      </c>
      <c r="F49" s="32" t="s">
        <v>125</v>
      </c>
    </row>
    <row r="50" spans="1:6">
      <c r="A50" s="29">
        <v>5091</v>
      </c>
      <c r="B50" s="31" t="s">
        <v>761</v>
      </c>
      <c r="C50" s="31" t="s">
        <v>129</v>
      </c>
      <c r="D50" s="31" t="s">
        <v>127</v>
      </c>
      <c r="E50" s="31" t="s">
        <v>729</v>
      </c>
      <c r="F50" s="32" t="s">
        <v>116</v>
      </c>
    </row>
    <row r="51" spans="1:6">
      <c r="A51" s="29">
        <v>5113</v>
      </c>
      <c r="B51" s="31" t="s">
        <v>762</v>
      </c>
      <c r="C51" s="31" t="s">
        <v>129</v>
      </c>
      <c r="D51" s="31" t="s">
        <v>127</v>
      </c>
      <c r="E51" s="31" t="s">
        <v>729</v>
      </c>
      <c r="F51" s="32" t="s">
        <v>176</v>
      </c>
    </row>
    <row r="52" spans="1:6">
      <c r="A52" s="29">
        <v>5120</v>
      </c>
      <c r="B52" s="31" t="s">
        <v>763</v>
      </c>
      <c r="C52" s="31" t="s">
        <v>129</v>
      </c>
      <c r="D52" s="31" t="s">
        <v>127</v>
      </c>
      <c r="E52" s="31" t="s">
        <v>729</v>
      </c>
      <c r="F52" s="32" t="s">
        <v>176</v>
      </c>
    </row>
    <row r="53" spans="1:6">
      <c r="A53" s="29">
        <v>5125</v>
      </c>
      <c r="B53" s="31" t="s">
        <v>764</v>
      </c>
      <c r="C53" s="31" t="s">
        <v>129</v>
      </c>
      <c r="D53" s="31" t="s">
        <v>127</v>
      </c>
      <c r="E53" s="31" t="s">
        <v>729</v>
      </c>
      <c r="F53" s="32" t="s">
        <v>116</v>
      </c>
    </row>
    <row r="54" spans="1:6">
      <c r="A54" s="29">
        <v>5134</v>
      </c>
      <c r="B54" s="31" t="s">
        <v>765</v>
      </c>
      <c r="C54" s="31" t="s">
        <v>129</v>
      </c>
      <c r="D54" s="31" t="s">
        <v>127</v>
      </c>
      <c r="E54" s="31" t="s">
        <v>729</v>
      </c>
      <c r="F54" s="32" t="s">
        <v>116</v>
      </c>
    </row>
    <row r="55" spans="1:6">
      <c r="A55" s="29">
        <v>5138</v>
      </c>
      <c r="B55" s="31" t="s">
        <v>766</v>
      </c>
      <c r="C55" s="31" t="s">
        <v>129</v>
      </c>
      <c r="D55" s="31" t="s">
        <v>127</v>
      </c>
      <c r="E55" s="31" t="s">
        <v>729</v>
      </c>
      <c r="F55" s="32" t="s">
        <v>116</v>
      </c>
    </row>
    <row r="56" spans="1:6">
      <c r="A56" s="29">
        <v>5142</v>
      </c>
      <c r="B56" s="31" t="s">
        <v>767</v>
      </c>
      <c r="C56" s="31" t="s">
        <v>129</v>
      </c>
      <c r="D56" s="31" t="s">
        <v>127</v>
      </c>
      <c r="E56" s="31" t="s">
        <v>729</v>
      </c>
      <c r="F56" s="32" t="s">
        <v>116</v>
      </c>
    </row>
    <row r="57" spans="1:6">
      <c r="A57" s="29">
        <v>5145</v>
      </c>
      <c r="B57" s="31" t="s">
        <v>768</v>
      </c>
      <c r="C57" s="31" t="s">
        <v>129</v>
      </c>
      <c r="D57" s="31" t="s">
        <v>127</v>
      </c>
      <c r="E57" s="31" t="s">
        <v>729</v>
      </c>
      <c r="F57" s="32" t="s">
        <v>116</v>
      </c>
    </row>
    <row r="58" spans="1:6">
      <c r="A58" s="29">
        <v>5147</v>
      </c>
      <c r="B58" s="31" t="s">
        <v>769</v>
      </c>
      <c r="C58" s="31" t="s">
        <v>129</v>
      </c>
      <c r="D58" s="31" t="s">
        <v>78</v>
      </c>
      <c r="E58" s="31" t="s">
        <v>729</v>
      </c>
      <c r="F58" s="32" t="s">
        <v>104</v>
      </c>
    </row>
    <row r="59" spans="1:6">
      <c r="A59" s="29">
        <v>5150</v>
      </c>
      <c r="B59" s="31" t="s">
        <v>770</v>
      </c>
      <c r="C59" s="31" t="s">
        <v>129</v>
      </c>
      <c r="D59" s="31" t="s">
        <v>127</v>
      </c>
      <c r="E59" s="31" t="s">
        <v>729</v>
      </c>
      <c r="F59" s="32" t="s">
        <v>116</v>
      </c>
    </row>
    <row r="60" spans="1:6">
      <c r="A60" s="29">
        <v>5154</v>
      </c>
      <c r="B60" s="31" t="s">
        <v>771</v>
      </c>
      <c r="C60" s="31" t="s">
        <v>129</v>
      </c>
      <c r="D60" s="31" t="s">
        <v>338</v>
      </c>
      <c r="E60" s="31" t="s">
        <v>729</v>
      </c>
      <c r="F60" s="32" t="s">
        <v>125</v>
      </c>
    </row>
    <row r="61" spans="1:6">
      <c r="A61" s="29">
        <v>5172</v>
      </c>
      <c r="B61" s="31" t="s">
        <v>568</v>
      </c>
      <c r="C61" s="31" t="s">
        <v>129</v>
      </c>
      <c r="D61" s="31" t="s">
        <v>78</v>
      </c>
      <c r="E61" s="31" t="s">
        <v>729</v>
      </c>
      <c r="F61" s="32" t="s">
        <v>125</v>
      </c>
    </row>
    <row r="62" spans="1:6">
      <c r="A62" s="29">
        <v>5190</v>
      </c>
      <c r="B62" s="31" t="s">
        <v>772</v>
      </c>
      <c r="C62" s="31" t="s">
        <v>129</v>
      </c>
      <c r="D62" s="31" t="s">
        <v>127</v>
      </c>
      <c r="E62" s="31" t="s">
        <v>729</v>
      </c>
      <c r="F62" s="32" t="s">
        <v>125</v>
      </c>
    </row>
    <row r="63" spans="1:6">
      <c r="A63" s="29">
        <v>5101</v>
      </c>
      <c r="B63" s="31" t="s">
        <v>773</v>
      </c>
      <c r="C63" s="31" t="s">
        <v>129</v>
      </c>
      <c r="D63" s="31" t="s">
        <v>127</v>
      </c>
      <c r="E63" s="31" t="s">
        <v>729</v>
      </c>
      <c r="F63" s="32" t="s">
        <v>125</v>
      </c>
    </row>
    <row r="64" spans="1:6">
      <c r="A64" s="29">
        <v>5197</v>
      </c>
      <c r="B64" s="31" t="s">
        <v>215</v>
      </c>
      <c r="C64" s="31" t="s">
        <v>129</v>
      </c>
      <c r="D64" s="31" t="s">
        <v>127</v>
      </c>
      <c r="E64" s="31" t="s">
        <v>729</v>
      </c>
      <c r="F64" s="32" t="s">
        <v>125</v>
      </c>
    </row>
    <row r="65" spans="1:6">
      <c r="A65" s="29">
        <v>5212</v>
      </c>
      <c r="B65" s="31" t="s">
        <v>774</v>
      </c>
      <c r="C65" s="31" t="s">
        <v>129</v>
      </c>
      <c r="D65" s="31" t="s">
        <v>127</v>
      </c>
      <c r="E65" s="31" t="s">
        <v>729</v>
      </c>
      <c r="F65" s="32" t="s">
        <v>104</v>
      </c>
    </row>
    <row r="66" spans="1:6">
      <c r="A66" s="29">
        <v>5234</v>
      </c>
      <c r="B66" s="31" t="s">
        <v>775</v>
      </c>
      <c r="C66" s="31" t="s">
        <v>129</v>
      </c>
      <c r="D66" s="31" t="s">
        <v>127</v>
      </c>
      <c r="E66" s="31" t="s">
        <v>729</v>
      </c>
      <c r="F66" s="32" t="s">
        <v>176</v>
      </c>
    </row>
    <row r="67" spans="1:6">
      <c r="A67" s="29">
        <v>5237</v>
      </c>
      <c r="B67" s="31" t="s">
        <v>776</v>
      </c>
      <c r="C67" s="31" t="s">
        <v>129</v>
      </c>
      <c r="D67" s="31" t="s">
        <v>127</v>
      </c>
      <c r="E67" s="31" t="s">
        <v>729</v>
      </c>
      <c r="F67" s="32" t="s">
        <v>125</v>
      </c>
    </row>
    <row r="68" spans="1:6">
      <c r="A68" s="29">
        <v>5240</v>
      </c>
      <c r="B68" s="31" t="s">
        <v>777</v>
      </c>
      <c r="C68" s="31" t="s">
        <v>129</v>
      </c>
      <c r="D68" s="31" t="s">
        <v>127</v>
      </c>
      <c r="E68" s="31" t="s">
        <v>729</v>
      </c>
      <c r="F68" s="32" t="s">
        <v>125</v>
      </c>
    </row>
    <row r="69" spans="1:6">
      <c r="A69" s="29">
        <v>5250</v>
      </c>
      <c r="B69" s="31" t="s">
        <v>778</v>
      </c>
      <c r="C69" s="31" t="s">
        <v>129</v>
      </c>
      <c r="D69" s="31" t="s">
        <v>338</v>
      </c>
      <c r="E69" s="31" t="s">
        <v>729</v>
      </c>
      <c r="F69" s="32" t="s">
        <v>176</v>
      </c>
    </row>
    <row r="70" spans="1:6">
      <c r="A70" s="29">
        <v>5148</v>
      </c>
      <c r="B70" s="31" t="s">
        <v>779</v>
      </c>
      <c r="C70" s="31" t="s">
        <v>129</v>
      </c>
      <c r="D70" s="31" t="s">
        <v>127</v>
      </c>
      <c r="E70" s="31" t="s">
        <v>729</v>
      </c>
      <c r="F70" s="32" t="s">
        <v>125</v>
      </c>
    </row>
    <row r="71" spans="1:6">
      <c r="A71" s="29">
        <v>5697</v>
      </c>
      <c r="B71" s="31" t="s">
        <v>780</v>
      </c>
      <c r="C71" s="31" t="s">
        <v>129</v>
      </c>
      <c r="D71" s="31" t="s">
        <v>127</v>
      </c>
      <c r="E71" s="31" t="s">
        <v>729</v>
      </c>
      <c r="F71" s="32" t="s">
        <v>125</v>
      </c>
    </row>
    <row r="72" spans="1:6">
      <c r="A72" s="29">
        <v>5264</v>
      </c>
      <c r="B72" s="31" t="s">
        <v>781</v>
      </c>
      <c r="C72" s="31" t="s">
        <v>129</v>
      </c>
      <c r="D72" s="31" t="s">
        <v>127</v>
      </c>
      <c r="E72" s="31" t="s">
        <v>729</v>
      </c>
      <c r="F72" s="32" t="s">
        <v>125</v>
      </c>
    </row>
    <row r="73" spans="1:6">
      <c r="A73" s="29">
        <v>5266</v>
      </c>
      <c r="B73" s="31" t="s">
        <v>630</v>
      </c>
      <c r="C73" s="31" t="s">
        <v>129</v>
      </c>
      <c r="D73" s="31" t="s">
        <v>127</v>
      </c>
      <c r="E73" s="31" t="s">
        <v>729</v>
      </c>
      <c r="F73" s="32" t="s">
        <v>104</v>
      </c>
    </row>
    <row r="74" spans="1:6">
      <c r="A74" s="29">
        <v>5282</v>
      </c>
      <c r="B74" s="31" t="s">
        <v>782</v>
      </c>
      <c r="C74" s="31" t="s">
        <v>129</v>
      </c>
      <c r="D74" s="31" t="s">
        <v>127</v>
      </c>
      <c r="E74" s="31" t="s">
        <v>729</v>
      </c>
      <c r="F74" s="32" t="s">
        <v>125</v>
      </c>
    </row>
    <row r="75" spans="1:6">
      <c r="A75" s="29">
        <v>5284</v>
      </c>
      <c r="B75" s="31" t="s">
        <v>783</v>
      </c>
      <c r="C75" s="31" t="s">
        <v>129</v>
      </c>
      <c r="D75" s="31" t="s">
        <v>127</v>
      </c>
      <c r="E75" s="31" t="s">
        <v>729</v>
      </c>
      <c r="F75" s="32" t="s">
        <v>176</v>
      </c>
    </row>
    <row r="76" spans="1:6">
      <c r="A76" s="29">
        <v>5306</v>
      </c>
      <c r="B76" s="31" t="s">
        <v>784</v>
      </c>
      <c r="C76" s="31" t="s">
        <v>129</v>
      </c>
      <c r="D76" s="31" t="s">
        <v>127</v>
      </c>
      <c r="E76" s="31" t="s">
        <v>729</v>
      </c>
      <c r="F76" s="32" t="s">
        <v>116</v>
      </c>
    </row>
    <row r="77" spans="1:6">
      <c r="A77" s="29">
        <v>5308</v>
      </c>
      <c r="B77" s="31" t="s">
        <v>400</v>
      </c>
      <c r="C77" s="31" t="s">
        <v>129</v>
      </c>
      <c r="D77" s="31" t="s">
        <v>127</v>
      </c>
      <c r="E77" s="31" t="s">
        <v>729</v>
      </c>
      <c r="F77" s="32" t="s">
        <v>104</v>
      </c>
    </row>
    <row r="78" spans="1:6">
      <c r="A78" s="29">
        <v>5310</v>
      </c>
      <c r="B78" s="31" t="s">
        <v>785</v>
      </c>
      <c r="C78" s="31" t="s">
        <v>129</v>
      </c>
      <c r="D78" s="31" t="s">
        <v>127</v>
      </c>
      <c r="E78" s="31" t="s">
        <v>729</v>
      </c>
      <c r="F78" s="32" t="s">
        <v>125</v>
      </c>
    </row>
    <row r="79" spans="1:6">
      <c r="A79" s="29">
        <v>5318</v>
      </c>
      <c r="B79" s="31" t="s">
        <v>540</v>
      </c>
      <c r="C79" s="31" t="s">
        <v>129</v>
      </c>
      <c r="D79" s="31" t="s">
        <v>127</v>
      </c>
      <c r="E79" s="31" t="s">
        <v>729</v>
      </c>
      <c r="F79" s="32" t="s">
        <v>125</v>
      </c>
    </row>
    <row r="80" spans="1:6">
      <c r="A80" s="29">
        <v>5321</v>
      </c>
      <c r="B80" s="31" t="s">
        <v>786</v>
      </c>
      <c r="C80" s="31" t="s">
        <v>129</v>
      </c>
      <c r="D80" s="31" t="s">
        <v>127</v>
      </c>
      <c r="E80" s="31" t="s">
        <v>729</v>
      </c>
      <c r="F80" s="32" t="s">
        <v>125</v>
      </c>
    </row>
    <row r="81" spans="1:6">
      <c r="A81" s="29">
        <v>5347</v>
      </c>
      <c r="B81" s="31" t="s">
        <v>787</v>
      </c>
      <c r="C81" s="31" t="s">
        <v>129</v>
      </c>
      <c r="D81" s="31" t="s">
        <v>127</v>
      </c>
      <c r="E81" s="31" t="s">
        <v>729</v>
      </c>
      <c r="F81" s="32" t="s">
        <v>125</v>
      </c>
    </row>
    <row r="82" spans="1:6">
      <c r="A82" s="29">
        <v>5353</v>
      </c>
      <c r="B82" s="31" t="s">
        <v>788</v>
      </c>
      <c r="C82" s="31" t="s">
        <v>129</v>
      </c>
      <c r="D82" s="31" t="s">
        <v>127</v>
      </c>
      <c r="E82" s="31" t="s">
        <v>729</v>
      </c>
      <c r="F82" s="32" t="s">
        <v>116</v>
      </c>
    </row>
    <row r="83" spans="1:6">
      <c r="A83" s="29">
        <v>5360</v>
      </c>
      <c r="B83" s="31" t="s">
        <v>789</v>
      </c>
      <c r="C83" s="31" t="s">
        <v>129</v>
      </c>
      <c r="D83" s="31" t="s">
        <v>127</v>
      </c>
      <c r="E83" s="31" t="s">
        <v>729</v>
      </c>
      <c r="F83" s="32" t="s">
        <v>104</v>
      </c>
    </row>
    <row r="84" spans="1:6">
      <c r="A84" s="29">
        <v>5361</v>
      </c>
      <c r="B84" s="31" t="s">
        <v>790</v>
      </c>
      <c r="C84" s="31" t="s">
        <v>129</v>
      </c>
      <c r="D84" s="31" t="s">
        <v>127</v>
      </c>
      <c r="E84" s="31" t="s">
        <v>729</v>
      </c>
      <c r="F84" s="32" t="s">
        <v>176</v>
      </c>
    </row>
    <row r="85" spans="1:6">
      <c r="A85" s="29">
        <v>5364</v>
      </c>
      <c r="B85" s="31" t="s">
        <v>791</v>
      </c>
      <c r="C85" s="31" t="s">
        <v>129</v>
      </c>
      <c r="D85" s="31" t="s">
        <v>127</v>
      </c>
      <c r="E85" s="31" t="s">
        <v>729</v>
      </c>
      <c r="F85" s="32" t="s">
        <v>116</v>
      </c>
    </row>
    <row r="86" spans="1:6">
      <c r="A86" s="29">
        <v>5376</v>
      </c>
      <c r="B86" s="31" t="s">
        <v>792</v>
      </c>
      <c r="C86" s="31" t="s">
        <v>129</v>
      </c>
      <c r="D86" s="31" t="s">
        <v>127</v>
      </c>
      <c r="E86" s="31" t="s">
        <v>729</v>
      </c>
      <c r="F86" s="32" t="s">
        <v>125</v>
      </c>
    </row>
    <row r="87" spans="1:6">
      <c r="A87" s="29">
        <v>5380</v>
      </c>
      <c r="B87" s="31" t="s">
        <v>793</v>
      </c>
      <c r="C87" s="31" t="s">
        <v>129</v>
      </c>
      <c r="D87" s="31" t="s">
        <v>127</v>
      </c>
      <c r="E87" s="31" t="s">
        <v>729</v>
      </c>
      <c r="F87" s="32" t="s">
        <v>104</v>
      </c>
    </row>
    <row r="88" spans="1:6">
      <c r="A88" s="29">
        <v>5390</v>
      </c>
      <c r="B88" s="31" t="s">
        <v>794</v>
      </c>
      <c r="C88" s="31" t="s">
        <v>129</v>
      </c>
      <c r="D88" s="31" t="s">
        <v>127</v>
      </c>
      <c r="E88" s="31" t="s">
        <v>729</v>
      </c>
      <c r="F88" s="32" t="s">
        <v>125</v>
      </c>
    </row>
    <row r="89" spans="1:6">
      <c r="A89" s="29">
        <v>5411</v>
      </c>
      <c r="B89" s="31" t="s">
        <v>795</v>
      </c>
      <c r="C89" s="31" t="s">
        <v>129</v>
      </c>
      <c r="D89" s="31" t="s">
        <v>127</v>
      </c>
      <c r="E89" s="31" t="s">
        <v>729</v>
      </c>
      <c r="F89" s="32" t="s">
        <v>116</v>
      </c>
    </row>
    <row r="90" spans="1:6">
      <c r="A90" s="29">
        <v>5425</v>
      </c>
      <c r="B90" s="31" t="s">
        <v>796</v>
      </c>
      <c r="C90" s="31" t="s">
        <v>129</v>
      </c>
      <c r="D90" s="31" t="s">
        <v>127</v>
      </c>
      <c r="E90" s="31" t="s">
        <v>729</v>
      </c>
      <c r="F90" s="32" t="s">
        <v>116</v>
      </c>
    </row>
    <row r="91" spans="1:6">
      <c r="A91" s="29">
        <v>5440</v>
      </c>
      <c r="B91" s="31" t="s">
        <v>370</v>
      </c>
      <c r="C91" s="31" t="s">
        <v>129</v>
      </c>
      <c r="D91" s="31" t="s">
        <v>127</v>
      </c>
      <c r="E91" s="31" t="s">
        <v>729</v>
      </c>
      <c r="F91" s="32" t="s">
        <v>125</v>
      </c>
    </row>
    <row r="92" spans="1:6">
      <c r="A92" s="29">
        <v>5001</v>
      </c>
      <c r="B92" s="31" t="s">
        <v>127</v>
      </c>
      <c r="C92" s="31" t="s">
        <v>129</v>
      </c>
      <c r="D92" s="31" t="s">
        <v>127</v>
      </c>
      <c r="E92" s="31" t="s">
        <v>729</v>
      </c>
      <c r="F92" s="32" t="s">
        <v>104</v>
      </c>
    </row>
    <row r="93" spans="1:6">
      <c r="A93" s="29">
        <v>5467</v>
      </c>
      <c r="B93" s="31" t="s">
        <v>797</v>
      </c>
      <c r="C93" s="31" t="s">
        <v>129</v>
      </c>
      <c r="D93" s="31" t="s">
        <v>127</v>
      </c>
      <c r="E93" s="31" t="s">
        <v>729</v>
      </c>
      <c r="F93" s="32" t="s">
        <v>125</v>
      </c>
    </row>
    <row r="94" spans="1:6">
      <c r="A94" s="29">
        <v>5475</v>
      </c>
      <c r="B94" s="31" t="s">
        <v>798</v>
      </c>
      <c r="C94" s="31" t="s">
        <v>129</v>
      </c>
      <c r="D94" s="31" t="s">
        <v>78</v>
      </c>
      <c r="E94" s="31" t="s">
        <v>799</v>
      </c>
      <c r="F94" s="32" t="s">
        <v>93</v>
      </c>
    </row>
    <row r="95" spans="1:6">
      <c r="A95" s="29">
        <v>5480</v>
      </c>
      <c r="B95" s="31" t="s">
        <v>800</v>
      </c>
      <c r="C95" s="31" t="s">
        <v>129</v>
      </c>
      <c r="D95" s="31" t="s">
        <v>78</v>
      </c>
      <c r="E95" s="31" t="s">
        <v>729</v>
      </c>
      <c r="F95" s="32" t="s">
        <v>125</v>
      </c>
    </row>
    <row r="96" spans="1:6">
      <c r="A96" s="29">
        <v>5495</v>
      </c>
      <c r="B96" s="31" t="s">
        <v>801</v>
      </c>
      <c r="C96" s="31" t="s">
        <v>129</v>
      </c>
      <c r="D96" s="31" t="s">
        <v>338</v>
      </c>
      <c r="E96" s="31" t="s">
        <v>729</v>
      </c>
      <c r="F96" s="32" t="s">
        <v>116</v>
      </c>
    </row>
    <row r="97" spans="1:6">
      <c r="A97" s="29">
        <v>5490</v>
      </c>
      <c r="B97" s="31" t="s">
        <v>205</v>
      </c>
      <c r="C97" s="31" t="s">
        <v>129</v>
      </c>
      <c r="D97" s="31" t="s">
        <v>78</v>
      </c>
      <c r="E97" s="31" t="s">
        <v>729</v>
      </c>
      <c r="F97" s="32" t="s">
        <v>125</v>
      </c>
    </row>
    <row r="98" spans="1:6">
      <c r="A98" s="29">
        <v>5501</v>
      </c>
      <c r="B98" s="31" t="s">
        <v>802</v>
      </c>
      <c r="C98" s="31" t="s">
        <v>129</v>
      </c>
      <c r="D98" s="31" t="s">
        <v>127</v>
      </c>
      <c r="E98" s="31" t="s">
        <v>729</v>
      </c>
      <c r="F98" s="32" t="s">
        <v>125</v>
      </c>
    </row>
    <row r="99" spans="1:6">
      <c r="A99" s="29">
        <v>5541</v>
      </c>
      <c r="B99" s="31" t="s">
        <v>803</v>
      </c>
      <c r="C99" s="31" t="s">
        <v>129</v>
      </c>
      <c r="D99" s="31" t="s">
        <v>127</v>
      </c>
      <c r="E99" s="31" t="s">
        <v>729</v>
      </c>
      <c r="F99" s="32" t="s">
        <v>125</v>
      </c>
    </row>
    <row r="100" spans="1:6">
      <c r="A100" s="29">
        <v>5543</v>
      </c>
      <c r="B100" s="31" t="s">
        <v>804</v>
      </c>
      <c r="C100" s="31" t="s">
        <v>129</v>
      </c>
      <c r="D100" s="31" t="s">
        <v>127</v>
      </c>
      <c r="E100" s="31" t="s">
        <v>729</v>
      </c>
      <c r="F100" s="32" t="s">
        <v>176</v>
      </c>
    </row>
    <row r="101" spans="1:6">
      <c r="A101" s="29">
        <v>5576</v>
      </c>
      <c r="B101" s="31" t="s">
        <v>805</v>
      </c>
      <c r="C101" s="31" t="s">
        <v>129</v>
      </c>
      <c r="D101" s="31" t="s">
        <v>127</v>
      </c>
      <c r="E101" s="31" t="s">
        <v>729</v>
      </c>
      <c r="F101" s="32" t="s">
        <v>116</v>
      </c>
    </row>
    <row r="102" spans="1:6">
      <c r="A102" s="29">
        <v>5579</v>
      </c>
      <c r="B102" s="31" t="s">
        <v>806</v>
      </c>
      <c r="C102" s="31" t="s">
        <v>129</v>
      </c>
      <c r="D102" s="31" t="s">
        <v>127</v>
      </c>
      <c r="E102" s="31" t="s">
        <v>729</v>
      </c>
      <c r="F102" s="32" t="s">
        <v>116</v>
      </c>
    </row>
    <row r="103" spans="1:6">
      <c r="A103" s="29">
        <v>5585</v>
      </c>
      <c r="B103" s="31" t="s">
        <v>807</v>
      </c>
      <c r="C103" s="31" t="s">
        <v>129</v>
      </c>
      <c r="D103" s="31" t="s">
        <v>127</v>
      </c>
      <c r="E103" s="31" t="s">
        <v>729</v>
      </c>
      <c r="F103" s="32" t="s">
        <v>176</v>
      </c>
    </row>
    <row r="104" spans="1:6">
      <c r="A104" s="29">
        <v>5591</v>
      </c>
      <c r="B104" s="31" t="s">
        <v>808</v>
      </c>
      <c r="C104" s="31" t="s">
        <v>129</v>
      </c>
      <c r="D104" s="31" t="s">
        <v>127</v>
      </c>
      <c r="E104" s="31" t="s">
        <v>729</v>
      </c>
      <c r="F104" s="32" t="s">
        <v>176</v>
      </c>
    </row>
    <row r="105" spans="1:6">
      <c r="A105" s="29">
        <v>5604</v>
      </c>
      <c r="B105" s="31" t="s">
        <v>809</v>
      </c>
      <c r="C105" s="31" t="s">
        <v>129</v>
      </c>
      <c r="D105" s="31" t="s">
        <v>127</v>
      </c>
      <c r="E105" s="31" t="s">
        <v>729</v>
      </c>
      <c r="F105" s="32" t="s">
        <v>176</v>
      </c>
    </row>
    <row r="106" spans="1:6">
      <c r="A106" s="29">
        <v>5607</v>
      </c>
      <c r="B106" s="31" t="s">
        <v>810</v>
      </c>
      <c r="C106" s="31" t="s">
        <v>129</v>
      </c>
      <c r="D106" s="31" t="s">
        <v>127</v>
      </c>
      <c r="E106" s="31" t="s">
        <v>729</v>
      </c>
      <c r="F106" s="32" t="s">
        <v>125</v>
      </c>
    </row>
    <row r="107" spans="1:6">
      <c r="A107" s="29">
        <v>5631</v>
      </c>
      <c r="B107" s="31" t="s">
        <v>811</v>
      </c>
      <c r="C107" s="31" t="s">
        <v>129</v>
      </c>
      <c r="D107" s="31" t="s">
        <v>127</v>
      </c>
      <c r="E107" s="31" t="s">
        <v>729</v>
      </c>
      <c r="F107" s="32" t="s">
        <v>104</v>
      </c>
    </row>
    <row r="108" spans="1:6">
      <c r="A108" s="29">
        <v>5642</v>
      </c>
      <c r="B108" s="31" t="s">
        <v>812</v>
      </c>
      <c r="C108" s="31" t="s">
        <v>129</v>
      </c>
      <c r="D108" s="31" t="s">
        <v>127</v>
      </c>
      <c r="E108" s="31" t="s">
        <v>729</v>
      </c>
      <c r="F108" s="32" t="s">
        <v>125</v>
      </c>
    </row>
    <row r="109" spans="1:6">
      <c r="A109" s="29">
        <v>5647</v>
      </c>
      <c r="B109" s="31" t="s">
        <v>813</v>
      </c>
      <c r="C109" s="31" t="s">
        <v>129</v>
      </c>
      <c r="D109" s="31" t="s">
        <v>127</v>
      </c>
      <c r="E109" s="31" t="s">
        <v>729</v>
      </c>
      <c r="F109" s="32" t="s">
        <v>116</v>
      </c>
    </row>
    <row r="110" spans="1:6">
      <c r="A110" s="29">
        <v>5656</v>
      </c>
      <c r="B110" s="31" t="s">
        <v>814</v>
      </c>
      <c r="C110" s="31" t="s">
        <v>129</v>
      </c>
      <c r="D110" s="31" t="s">
        <v>127</v>
      </c>
      <c r="E110" s="31" t="s">
        <v>729</v>
      </c>
      <c r="F110" s="32" t="s">
        <v>125</v>
      </c>
    </row>
    <row r="111" spans="1:6">
      <c r="A111" s="29">
        <v>5658</v>
      </c>
      <c r="B111" s="31" t="s">
        <v>815</v>
      </c>
      <c r="C111" s="31" t="s">
        <v>129</v>
      </c>
      <c r="D111" s="31" t="s">
        <v>127</v>
      </c>
      <c r="E111" s="31" t="s">
        <v>729</v>
      </c>
      <c r="F111" s="32" t="s">
        <v>116</v>
      </c>
    </row>
    <row r="112" spans="1:6">
      <c r="A112" s="29">
        <v>5659</v>
      </c>
      <c r="B112" s="31" t="s">
        <v>816</v>
      </c>
      <c r="C112" s="31" t="s">
        <v>129</v>
      </c>
      <c r="D112" s="31" t="s">
        <v>338</v>
      </c>
      <c r="E112" s="31" t="s">
        <v>729</v>
      </c>
      <c r="F112" s="32" t="s">
        <v>125</v>
      </c>
    </row>
    <row r="113" spans="1:6">
      <c r="A113" s="29">
        <v>5665</v>
      </c>
      <c r="B113" s="31" t="s">
        <v>817</v>
      </c>
      <c r="C113" s="31" t="s">
        <v>129</v>
      </c>
      <c r="D113" s="31" t="s">
        <v>78</v>
      </c>
      <c r="E113" s="31" t="s">
        <v>729</v>
      </c>
      <c r="F113" s="32" t="s">
        <v>116</v>
      </c>
    </row>
    <row r="114" spans="1:6">
      <c r="A114" s="29">
        <v>5667</v>
      </c>
      <c r="B114" s="31" t="s">
        <v>818</v>
      </c>
      <c r="C114" s="31" t="s">
        <v>129</v>
      </c>
      <c r="D114" s="31" t="s">
        <v>127</v>
      </c>
      <c r="E114" s="31" t="s">
        <v>729</v>
      </c>
      <c r="F114" s="32" t="s">
        <v>116</v>
      </c>
    </row>
    <row r="115" spans="1:6">
      <c r="A115" s="29">
        <v>5670</v>
      </c>
      <c r="B115" s="31" t="s">
        <v>819</v>
      </c>
      <c r="C115" s="31" t="s">
        <v>129</v>
      </c>
      <c r="D115" s="31" t="s">
        <v>127</v>
      </c>
      <c r="E115" s="31" t="s">
        <v>729</v>
      </c>
      <c r="F115" s="32" t="s">
        <v>116</v>
      </c>
    </row>
    <row r="116" spans="1:6">
      <c r="A116" s="29">
        <v>5674</v>
      </c>
      <c r="B116" s="31" t="s">
        <v>820</v>
      </c>
      <c r="C116" s="31" t="s">
        <v>129</v>
      </c>
      <c r="D116" s="31" t="s">
        <v>127</v>
      </c>
      <c r="E116" s="31" t="s">
        <v>729</v>
      </c>
      <c r="F116" s="32" t="s">
        <v>125</v>
      </c>
    </row>
    <row r="117" spans="1:6">
      <c r="A117" s="29">
        <v>5042</v>
      </c>
      <c r="B117" s="31" t="s">
        <v>821</v>
      </c>
      <c r="C117" s="31" t="s">
        <v>129</v>
      </c>
      <c r="D117" s="31" t="s">
        <v>127</v>
      </c>
      <c r="E117" s="31" t="s">
        <v>729</v>
      </c>
      <c r="F117" s="32" t="s">
        <v>125</v>
      </c>
    </row>
    <row r="118" spans="1:6">
      <c r="A118" s="29">
        <v>5686</v>
      </c>
      <c r="B118" s="31" t="s">
        <v>822</v>
      </c>
      <c r="C118" s="31" t="s">
        <v>129</v>
      </c>
      <c r="D118" s="31" t="s">
        <v>127</v>
      </c>
      <c r="E118" s="31" t="s">
        <v>729</v>
      </c>
      <c r="F118" s="32" t="s">
        <v>125</v>
      </c>
    </row>
    <row r="119" spans="1:6">
      <c r="A119" s="29">
        <v>5690</v>
      </c>
      <c r="B119" s="31" t="s">
        <v>823</v>
      </c>
      <c r="C119" s="31" t="s">
        <v>129</v>
      </c>
      <c r="D119" s="31" t="s">
        <v>127</v>
      </c>
      <c r="E119" s="31" t="s">
        <v>729</v>
      </c>
      <c r="F119" s="32" t="s">
        <v>125</v>
      </c>
    </row>
    <row r="120" spans="1:6">
      <c r="A120" s="29">
        <v>5736</v>
      </c>
      <c r="B120" s="31" t="s">
        <v>824</v>
      </c>
      <c r="C120" s="31" t="s">
        <v>129</v>
      </c>
      <c r="D120" s="31" t="s">
        <v>127</v>
      </c>
      <c r="E120" s="31" t="s">
        <v>729</v>
      </c>
      <c r="F120" s="32" t="s">
        <v>176</v>
      </c>
    </row>
    <row r="121" spans="1:6">
      <c r="A121" s="29">
        <v>5756</v>
      </c>
      <c r="B121" s="31" t="s">
        <v>825</v>
      </c>
      <c r="C121" s="31" t="s">
        <v>129</v>
      </c>
      <c r="D121" s="31" t="s">
        <v>127</v>
      </c>
      <c r="E121" s="31" t="s">
        <v>729</v>
      </c>
      <c r="F121" s="32" t="s">
        <v>116</v>
      </c>
    </row>
    <row r="122" spans="1:6">
      <c r="A122" s="29">
        <v>5761</v>
      </c>
      <c r="B122" s="31" t="s">
        <v>826</v>
      </c>
      <c r="C122" s="31" t="s">
        <v>129</v>
      </c>
      <c r="D122" s="31" t="s">
        <v>127</v>
      </c>
      <c r="E122" s="31" t="s">
        <v>729</v>
      </c>
      <c r="F122" s="32" t="s">
        <v>125</v>
      </c>
    </row>
    <row r="123" spans="1:6">
      <c r="A123" s="29">
        <v>5789</v>
      </c>
      <c r="B123" s="31" t="s">
        <v>827</v>
      </c>
      <c r="C123" s="31" t="s">
        <v>129</v>
      </c>
      <c r="D123" s="31" t="s">
        <v>127</v>
      </c>
      <c r="E123" s="31" t="s">
        <v>729</v>
      </c>
      <c r="F123" s="32" t="s">
        <v>116</v>
      </c>
    </row>
    <row r="124" spans="1:6">
      <c r="A124" s="29">
        <v>5790</v>
      </c>
      <c r="B124" s="31" t="s">
        <v>828</v>
      </c>
      <c r="C124" s="31" t="s">
        <v>129</v>
      </c>
      <c r="D124" s="31" t="s">
        <v>127</v>
      </c>
      <c r="E124" s="31" t="s">
        <v>729</v>
      </c>
      <c r="F124" s="32" t="s">
        <v>176</v>
      </c>
    </row>
    <row r="125" spans="1:6">
      <c r="A125" s="29">
        <v>5792</v>
      </c>
      <c r="B125" s="31" t="s">
        <v>829</v>
      </c>
      <c r="C125" s="31" t="s">
        <v>129</v>
      </c>
      <c r="D125" s="31" t="s">
        <v>127</v>
      </c>
      <c r="E125" s="31" t="s">
        <v>729</v>
      </c>
      <c r="F125" s="32" t="s">
        <v>116</v>
      </c>
    </row>
    <row r="126" spans="1:6">
      <c r="A126" s="29">
        <v>5809</v>
      </c>
      <c r="B126" s="31" t="s">
        <v>830</v>
      </c>
      <c r="C126" s="31" t="s">
        <v>129</v>
      </c>
      <c r="D126" s="31" t="s">
        <v>127</v>
      </c>
      <c r="E126" s="31" t="s">
        <v>729</v>
      </c>
      <c r="F126" s="32" t="s">
        <v>125</v>
      </c>
    </row>
    <row r="127" spans="1:6">
      <c r="A127" s="29">
        <v>5837</v>
      </c>
      <c r="B127" s="31" t="s">
        <v>210</v>
      </c>
      <c r="C127" s="31" t="s">
        <v>129</v>
      </c>
      <c r="D127" s="31" t="s">
        <v>78</v>
      </c>
      <c r="E127" s="31" t="s">
        <v>729</v>
      </c>
      <c r="F127" s="32" t="s">
        <v>125</v>
      </c>
    </row>
    <row r="128" spans="1:6">
      <c r="A128" s="29">
        <v>5842</v>
      </c>
      <c r="B128" s="31" t="s">
        <v>831</v>
      </c>
      <c r="C128" s="31" t="s">
        <v>129</v>
      </c>
      <c r="D128" s="31" t="s">
        <v>127</v>
      </c>
      <c r="E128" s="31" t="s">
        <v>729</v>
      </c>
      <c r="F128" s="32" t="s">
        <v>176</v>
      </c>
    </row>
    <row r="129" spans="1:6">
      <c r="A129" s="29">
        <v>5847</v>
      </c>
      <c r="B129" s="31" t="s">
        <v>832</v>
      </c>
      <c r="C129" s="31" t="s">
        <v>129</v>
      </c>
      <c r="D129" s="31" t="s">
        <v>127</v>
      </c>
      <c r="E129" s="31" t="s">
        <v>729</v>
      </c>
      <c r="F129" s="32" t="s">
        <v>176</v>
      </c>
    </row>
    <row r="130" spans="1:6">
      <c r="A130" s="29">
        <v>5854</v>
      </c>
      <c r="B130" s="31" t="s">
        <v>833</v>
      </c>
      <c r="C130" s="31" t="s">
        <v>129</v>
      </c>
      <c r="D130" s="31" t="s">
        <v>127</v>
      </c>
      <c r="E130" s="31" t="s">
        <v>729</v>
      </c>
      <c r="F130" s="32" t="s">
        <v>116</v>
      </c>
    </row>
    <row r="131" spans="1:6">
      <c r="A131" s="29">
        <v>5858</v>
      </c>
      <c r="B131" s="31" t="s">
        <v>834</v>
      </c>
      <c r="C131" s="31" t="s">
        <v>129</v>
      </c>
      <c r="D131" s="31" t="s">
        <v>127</v>
      </c>
      <c r="E131" s="31" t="s">
        <v>729</v>
      </c>
      <c r="F131" s="32" t="s">
        <v>116</v>
      </c>
    </row>
    <row r="132" spans="1:6">
      <c r="A132" s="29">
        <v>5873</v>
      </c>
      <c r="B132" s="31" t="s">
        <v>835</v>
      </c>
      <c r="C132" s="31" t="s">
        <v>129</v>
      </c>
      <c r="D132" s="31" t="s">
        <v>78</v>
      </c>
      <c r="E132" s="31" t="s">
        <v>717</v>
      </c>
      <c r="F132" s="32" t="s">
        <v>93</v>
      </c>
    </row>
    <row r="133" spans="1:6">
      <c r="A133" s="29">
        <v>5885</v>
      </c>
      <c r="B133" s="31" t="s">
        <v>836</v>
      </c>
      <c r="C133" s="31" t="s">
        <v>129</v>
      </c>
      <c r="D133" s="31" t="s">
        <v>127</v>
      </c>
      <c r="E133" s="31" t="s">
        <v>729</v>
      </c>
      <c r="F133" s="32" t="s">
        <v>125</v>
      </c>
    </row>
    <row r="134" spans="1:6">
      <c r="A134" s="29">
        <v>5887</v>
      </c>
      <c r="B134" s="31" t="s">
        <v>837</v>
      </c>
      <c r="C134" s="31" t="s">
        <v>129</v>
      </c>
      <c r="D134" s="31" t="s">
        <v>127</v>
      </c>
      <c r="E134" s="31" t="s">
        <v>729</v>
      </c>
      <c r="F134" s="32" t="s">
        <v>116</v>
      </c>
    </row>
    <row r="135" spans="1:6">
      <c r="A135" s="29">
        <v>5890</v>
      </c>
      <c r="B135" s="31" t="s">
        <v>838</v>
      </c>
      <c r="C135" s="31" t="s">
        <v>129</v>
      </c>
      <c r="D135" s="31" t="s">
        <v>127</v>
      </c>
      <c r="E135" s="31" t="s">
        <v>729</v>
      </c>
      <c r="F135" s="32" t="s">
        <v>125</v>
      </c>
    </row>
    <row r="136" spans="1:6">
      <c r="A136" s="29">
        <v>5893</v>
      </c>
      <c r="B136" s="31" t="s">
        <v>839</v>
      </c>
      <c r="C136" s="31" t="s">
        <v>129</v>
      </c>
      <c r="D136" s="31" t="s">
        <v>169</v>
      </c>
      <c r="E136" s="31" t="s">
        <v>729</v>
      </c>
      <c r="F136" s="32" t="s">
        <v>176</v>
      </c>
    </row>
    <row r="137" spans="1:6">
      <c r="A137" s="29">
        <v>5895</v>
      </c>
      <c r="B137" s="31" t="s">
        <v>840</v>
      </c>
      <c r="C137" s="31" t="s">
        <v>129</v>
      </c>
      <c r="D137" s="31" t="s">
        <v>338</v>
      </c>
      <c r="E137" s="31" t="s">
        <v>729</v>
      </c>
      <c r="F137" s="32" t="s">
        <v>176</v>
      </c>
    </row>
    <row r="138" spans="1:6">
      <c r="A138" s="29">
        <v>81001</v>
      </c>
      <c r="B138" s="31" t="s">
        <v>841</v>
      </c>
      <c r="C138" s="31" t="s">
        <v>841</v>
      </c>
      <c r="D138" s="31" t="s">
        <v>169</v>
      </c>
      <c r="E138" s="31" t="s">
        <v>717</v>
      </c>
      <c r="F138" s="32" t="s">
        <v>93</v>
      </c>
    </row>
    <row r="139" spans="1:6">
      <c r="A139" s="29">
        <v>81065</v>
      </c>
      <c r="B139" s="31" t="s">
        <v>842</v>
      </c>
      <c r="C139" s="31" t="s">
        <v>841</v>
      </c>
      <c r="D139" s="31" t="s">
        <v>169</v>
      </c>
      <c r="E139" s="31" t="s">
        <v>717</v>
      </c>
      <c r="F139" s="32" t="s">
        <v>93</v>
      </c>
    </row>
    <row r="140" spans="1:6">
      <c r="A140" s="29">
        <v>81220</v>
      </c>
      <c r="B140" s="31" t="s">
        <v>843</v>
      </c>
      <c r="C140" s="31" t="s">
        <v>841</v>
      </c>
      <c r="D140" s="31" t="s">
        <v>169</v>
      </c>
      <c r="E140" s="31" t="s">
        <v>717</v>
      </c>
      <c r="F140" s="32" t="s">
        <v>93</v>
      </c>
    </row>
    <row r="141" spans="1:6">
      <c r="A141" s="29">
        <v>81300</v>
      </c>
      <c r="B141" s="31" t="s">
        <v>844</v>
      </c>
      <c r="C141" s="31" t="s">
        <v>841</v>
      </c>
      <c r="D141" s="31" t="s">
        <v>169</v>
      </c>
      <c r="E141" s="31" t="s">
        <v>717</v>
      </c>
      <c r="F141" s="32" t="s">
        <v>93</v>
      </c>
    </row>
    <row r="142" spans="1:6">
      <c r="A142" s="29">
        <v>81591</v>
      </c>
      <c r="B142" s="31" t="s">
        <v>845</v>
      </c>
      <c r="C142" s="31" t="s">
        <v>841</v>
      </c>
      <c r="D142" s="31" t="s">
        <v>169</v>
      </c>
      <c r="E142" s="31" t="s">
        <v>717</v>
      </c>
      <c r="F142" s="32" t="s">
        <v>93</v>
      </c>
    </row>
    <row r="143" spans="1:6">
      <c r="A143" s="29">
        <v>81736</v>
      </c>
      <c r="B143" s="31" t="s">
        <v>846</v>
      </c>
      <c r="C143" s="31" t="s">
        <v>841</v>
      </c>
      <c r="D143" s="31" t="s">
        <v>169</v>
      </c>
      <c r="E143" s="31" t="s">
        <v>717</v>
      </c>
      <c r="F143" s="32" t="s">
        <v>93</v>
      </c>
    </row>
    <row r="144" spans="1:6">
      <c r="A144" s="29">
        <v>81794</v>
      </c>
      <c r="B144" s="31" t="s">
        <v>847</v>
      </c>
      <c r="C144" s="31" t="s">
        <v>841</v>
      </c>
      <c r="D144" s="31" t="s">
        <v>169</v>
      </c>
      <c r="E144" s="31" t="s">
        <v>717</v>
      </c>
      <c r="F144" s="32" t="s">
        <v>93</v>
      </c>
    </row>
    <row r="145" spans="1:6">
      <c r="A145" s="29">
        <v>8141</v>
      </c>
      <c r="B145" s="30" t="s">
        <v>848</v>
      </c>
      <c r="C145" s="31" t="s">
        <v>605</v>
      </c>
      <c r="D145" s="31" t="s">
        <v>603</v>
      </c>
      <c r="E145" s="31" t="s">
        <v>729</v>
      </c>
      <c r="F145" s="32" t="s">
        <v>125</v>
      </c>
    </row>
    <row r="146" spans="1:6">
      <c r="A146" s="29">
        <v>8573</v>
      </c>
      <c r="B146" s="30" t="s">
        <v>849</v>
      </c>
      <c r="C146" s="31" t="s">
        <v>605</v>
      </c>
      <c r="D146" s="31" t="s">
        <v>603</v>
      </c>
      <c r="E146" s="31" t="s">
        <v>729</v>
      </c>
      <c r="F146" s="32" t="s">
        <v>125</v>
      </c>
    </row>
    <row r="147" spans="1:6">
      <c r="A147" s="29">
        <v>8638</v>
      </c>
      <c r="B147" s="30" t="s">
        <v>741</v>
      </c>
      <c r="C147" s="31" t="s">
        <v>605</v>
      </c>
      <c r="D147" s="31" t="s">
        <v>603</v>
      </c>
      <c r="E147" s="31" t="s">
        <v>729</v>
      </c>
      <c r="F147" s="32" t="s">
        <v>125</v>
      </c>
    </row>
    <row r="148" spans="1:6">
      <c r="A148" s="29">
        <v>8078</v>
      </c>
      <c r="B148" s="31" t="s">
        <v>850</v>
      </c>
      <c r="C148" s="31" t="s">
        <v>605</v>
      </c>
      <c r="D148" s="31" t="s">
        <v>603</v>
      </c>
      <c r="E148" s="31" t="s">
        <v>729</v>
      </c>
      <c r="F148" s="32" t="s">
        <v>125</v>
      </c>
    </row>
    <row r="149" spans="1:6">
      <c r="A149" s="29">
        <v>8001</v>
      </c>
      <c r="B149" s="31" t="s">
        <v>603</v>
      </c>
      <c r="C149" s="31" t="s">
        <v>605</v>
      </c>
      <c r="D149" s="31" t="s">
        <v>603</v>
      </c>
      <c r="E149" s="31" t="s">
        <v>729</v>
      </c>
      <c r="F149" s="32" t="s">
        <v>104</v>
      </c>
    </row>
    <row r="150" spans="1:6">
      <c r="A150" s="29">
        <v>8137</v>
      </c>
      <c r="B150" s="31" t="s">
        <v>851</v>
      </c>
      <c r="C150" s="31" t="s">
        <v>605</v>
      </c>
      <c r="D150" s="31" t="s">
        <v>603</v>
      </c>
      <c r="E150" s="31" t="s">
        <v>729</v>
      </c>
      <c r="F150" s="32" t="s">
        <v>125</v>
      </c>
    </row>
    <row r="151" spans="1:6">
      <c r="A151" s="29">
        <v>8296</v>
      </c>
      <c r="B151" s="31" t="s">
        <v>852</v>
      </c>
      <c r="C151" s="31" t="s">
        <v>605</v>
      </c>
      <c r="D151" s="31" t="s">
        <v>603</v>
      </c>
      <c r="E151" s="31" t="s">
        <v>729</v>
      </c>
      <c r="F151" s="32" t="s">
        <v>104</v>
      </c>
    </row>
    <row r="152" spans="1:6">
      <c r="A152" s="29">
        <v>8372</v>
      </c>
      <c r="B152" s="31" t="s">
        <v>853</v>
      </c>
      <c r="C152" s="31" t="s">
        <v>605</v>
      </c>
      <c r="D152" s="31" t="s">
        <v>603</v>
      </c>
      <c r="E152" s="31" t="s">
        <v>729</v>
      </c>
      <c r="F152" s="32" t="s">
        <v>125</v>
      </c>
    </row>
    <row r="153" spans="1:6">
      <c r="A153" s="29">
        <v>8421</v>
      </c>
      <c r="B153" s="31" t="s">
        <v>854</v>
      </c>
      <c r="C153" s="31" t="s">
        <v>605</v>
      </c>
      <c r="D153" s="31" t="s">
        <v>603</v>
      </c>
      <c r="E153" s="31" t="s">
        <v>729</v>
      </c>
      <c r="F153" s="32" t="s">
        <v>125</v>
      </c>
    </row>
    <row r="154" spans="1:6">
      <c r="A154" s="29">
        <v>8433</v>
      </c>
      <c r="B154" s="31" t="s">
        <v>855</v>
      </c>
      <c r="C154" s="31" t="s">
        <v>605</v>
      </c>
      <c r="D154" s="31" t="s">
        <v>603</v>
      </c>
      <c r="E154" s="31" t="s">
        <v>729</v>
      </c>
      <c r="F154" s="32" t="s">
        <v>125</v>
      </c>
    </row>
    <row r="155" spans="1:6">
      <c r="A155" s="29">
        <v>8436</v>
      </c>
      <c r="B155" s="31" t="s">
        <v>606</v>
      </c>
      <c r="C155" s="31" t="s">
        <v>605</v>
      </c>
      <c r="D155" s="31" t="s">
        <v>603</v>
      </c>
      <c r="E155" s="31" t="s">
        <v>729</v>
      </c>
      <c r="F155" s="32" t="s">
        <v>125</v>
      </c>
    </row>
    <row r="156" spans="1:6">
      <c r="A156" s="29">
        <v>8520</v>
      </c>
      <c r="B156" s="31" t="s">
        <v>856</v>
      </c>
      <c r="C156" s="31" t="s">
        <v>605</v>
      </c>
      <c r="D156" s="31" t="s">
        <v>603</v>
      </c>
      <c r="E156" s="31" t="s">
        <v>729</v>
      </c>
      <c r="F156" s="32" t="s">
        <v>125</v>
      </c>
    </row>
    <row r="157" spans="1:6">
      <c r="A157" s="29">
        <v>8549</v>
      </c>
      <c r="B157" s="31" t="s">
        <v>857</v>
      </c>
      <c r="C157" s="31" t="s">
        <v>605</v>
      </c>
      <c r="D157" s="31" t="s">
        <v>603</v>
      </c>
      <c r="E157" s="31" t="s">
        <v>729</v>
      </c>
      <c r="F157" s="32" t="s">
        <v>125</v>
      </c>
    </row>
    <row r="158" spans="1:6">
      <c r="A158" s="29">
        <v>8558</v>
      </c>
      <c r="B158" s="31" t="s">
        <v>858</v>
      </c>
      <c r="C158" s="31" t="s">
        <v>605</v>
      </c>
      <c r="D158" s="31" t="s">
        <v>603</v>
      </c>
      <c r="E158" s="31" t="s">
        <v>729</v>
      </c>
      <c r="F158" s="32" t="s">
        <v>125</v>
      </c>
    </row>
    <row r="159" spans="1:6">
      <c r="A159" s="29">
        <v>8560</v>
      </c>
      <c r="B159" s="31" t="s">
        <v>859</v>
      </c>
      <c r="C159" s="31" t="s">
        <v>605</v>
      </c>
      <c r="D159" s="31" t="s">
        <v>603</v>
      </c>
      <c r="E159" s="31" t="s">
        <v>729</v>
      </c>
      <c r="F159" s="32" t="s">
        <v>125</v>
      </c>
    </row>
    <row r="160" spans="1:6">
      <c r="A160" s="29">
        <v>8606</v>
      </c>
      <c r="B160" s="31" t="s">
        <v>860</v>
      </c>
      <c r="C160" s="31" t="s">
        <v>605</v>
      </c>
      <c r="D160" s="31" t="s">
        <v>603</v>
      </c>
      <c r="E160" s="31" t="s">
        <v>729</v>
      </c>
      <c r="F160" s="32" t="s">
        <v>125</v>
      </c>
    </row>
    <row r="161" spans="1:6">
      <c r="A161" s="29">
        <v>8634</v>
      </c>
      <c r="B161" s="31" t="s">
        <v>861</v>
      </c>
      <c r="C161" s="31" t="s">
        <v>605</v>
      </c>
      <c r="D161" s="31" t="s">
        <v>603</v>
      </c>
      <c r="E161" s="31" t="s">
        <v>729</v>
      </c>
      <c r="F161" s="32" t="s">
        <v>125</v>
      </c>
    </row>
    <row r="162" spans="1:6">
      <c r="A162" s="29">
        <v>8675</v>
      </c>
      <c r="B162" s="31" t="s">
        <v>862</v>
      </c>
      <c r="C162" s="31" t="s">
        <v>605</v>
      </c>
      <c r="D162" s="31" t="s">
        <v>603</v>
      </c>
      <c r="E162" s="31" t="s">
        <v>729</v>
      </c>
      <c r="F162" s="32" t="s">
        <v>125</v>
      </c>
    </row>
    <row r="163" spans="1:6">
      <c r="A163" s="29">
        <v>8685</v>
      </c>
      <c r="B163" s="31" t="s">
        <v>863</v>
      </c>
      <c r="C163" s="31" t="s">
        <v>605</v>
      </c>
      <c r="D163" s="31" t="s">
        <v>603</v>
      </c>
      <c r="E163" s="31" t="s">
        <v>729</v>
      </c>
      <c r="F163" s="32" t="s">
        <v>125</v>
      </c>
    </row>
    <row r="164" spans="1:6">
      <c r="A164" s="29">
        <v>8758</v>
      </c>
      <c r="B164" s="31" t="s">
        <v>636</v>
      </c>
      <c r="C164" s="31" t="s">
        <v>605</v>
      </c>
      <c r="D164" s="31" t="s">
        <v>603</v>
      </c>
      <c r="E164" s="31" t="s">
        <v>729</v>
      </c>
      <c r="F164" s="32" t="s">
        <v>104</v>
      </c>
    </row>
    <row r="165" spans="1:6">
      <c r="A165" s="29">
        <v>8770</v>
      </c>
      <c r="B165" s="31" t="s">
        <v>864</v>
      </c>
      <c r="C165" s="31" t="s">
        <v>605</v>
      </c>
      <c r="D165" s="31" t="s">
        <v>603</v>
      </c>
      <c r="E165" s="31" t="s">
        <v>729</v>
      </c>
      <c r="F165" s="32" t="s">
        <v>125</v>
      </c>
    </row>
    <row r="166" spans="1:6">
      <c r="A166" s="29">
        <v>8832</v>
      </c>
      <c r="B166" s="31" t="s">
        <v>865</v>
      </c>
      <c r="C166" s="31" t="s">
        <v>605</v>
      </c>
      <c r="D166" s="31" t="s">
        <v>603</v>
      </c>
      <c r="E166" s="31" t="s">
        <v>729</v>
      </c>
      <c r="F166" s="32" t="s">
        <v>125</v>
      </c>
    </row>
    <row r="167" spans="1:6">
      <c r="A167" s="29">
        <v>8849</v>
      </c>
      <c r="B167" s="31" t="s">
        <v>866</v>
      </c>
      <c r="C167" s="31" t="s">
        <v>605</v>
      </c>
      <c r="D167" s="31" t="s">
        <v>603</v>
      </c>
      <c r="E167" s="31" t="s">
        <v>729</v>
      </c>
      <c r="F167" s="32" t="s">
        <v>125</v>
      </c>
    </row>
    <row r="168" spans="1:6">
      <c r="A168" s="29">
        <v>13140</v>
      </c>
      <c r="B168" s="30" t="s">
        <v>867</v>
      </c>
      <c r="C168" s="31" t="s">
        <v>228</v>
      </c>
      <c r="D168" s="31" t="s">
        <v>226</v>
      </c>
      <c r="E168" s="31" t="s">
        <v>729</v>
      </c>
      <c r="F168" s="32" t="s">
        <v>125</v>
      </c>
    </row>
    <row r="169" spans="1:6">
      <c r="A169" s="29">
        <v>13212</v>
      </c>
      <c r="B169" s="30" t="s">
        <v>340</v>
      </c>
      <c r="C169" s="31" t="s">
        <v>228</v>
      </c>
      <c r="D169" s="31" t="s">
        <v>226</v>
      </c>
      <c r="E169" s="31" t="s">
        <v>729</v>
      </c>
      <c r="F169" s="32" t="s">
        <v>176</v>
      </c>
    </row>
    <row r="170" spans="1:6">
      <c r="A170" s="29">
        <v>13268</v>
      </c>
      <c r="B170" s="30" t="s">
        <v>868</v>
      </c>
      <c r="C170" s="31" t="s">
        <v>228</v>
      </c>
      <c r="D170" s="31" t="s">
        <v>391</v>
      </c>
      <c r="E170" s="31" t="s">
        <v>729</v>
      </c>
      <c r="F170" s="32" t="s">
        <v>176</v>
      </c>
    </row>
    <row r="171" spans="1:6">
      <c r="A171" s="29">
        <v>13473</v>
      </c>
      <c r="B171" s="30" t="s">
        <v>869</v>
      </c>
      <c r="C171" s="31" t="s">
        <v>228</v>
      </c>
      <c r="D171" s="31" t="s">
        <v>391</v>
      </c>
      <c r="E171" s="31" t="s">
        <v>729</v>
      </c>
      <c r="F171" s="32" t="s">
        <v>176</v>
      </c>
    </row>
    <row r="172" spans="1:6">
      <c r="A172" s="29">
        <v>13670</v>
      </c>
      <c r="B172" s="30" t="s">
        <v>870</v>
      </c>
      <c r="C172" s="31" t="s">
        <v>228</v>
      </c>
      <c r="D172" s="31" t="s">
        <v>169</v>
      </c>
      <c r="E172" s="31" t="s">
        <v>871</v>
      </c>
      <c r="F172" s="32" t="s">
        <v>93</v>
      </c>
    </row>
    <row r="173" spans="1:6">
      <c r="A173" s="29">
        <v>13683</v>
      </c>
      <c r="B173" s="30" t="s">
        <v>872</v>
      </c>
      <c r="C173" s="31" t="s">
        <v>228</v>
      </c>
      <c r="D173" s="31" t="s">
        <v>226</v>
      </c>
      <c r="E173" s="31" t="s">
        <v>729</v>
      </c>
      <c r="F173" s="32" t="s">
        <v>125</v>
      </c>
    </row>
    <row r="174" spans="1:6">
      <c r="A174" s="29">
        <v>13873</v>
      </c>
      <c r="B174" s="30" t="s">
        <v>431</v>
      </c>
      <c r="C174" s="31" t="s">
        <v>228</v>
      </c>
      <c r="D174" s="31" t="s">
        <v>226</v>
      </c>
      <c r="E174" s="31" t="s">
        <v>729</v>
      </c>
      <c r="F174" s="32" t="s">
        <v>125</v>
      </c>
    </row>
    <row r="175" spans="1:6">
      <c r="A175" s="29">
        <v>13006</v>
      </c>
      <c r="B175" s="31" t="s">
        <v>873</v>
      </c>
      <c r="C175" s="31" t="s">
        <v>228</v>
      </c>
      <c r="D175" s="31" t="s">
        <v>226</v>
      </c>
      <c r="E175" s="31" t="s">
        <v>729</v>
      </c>
      <c r="F175" s="32" t="s">
        <v>176</v>
      </c>
    </row>
    <row r="176" spans="1:6">
      <c r="A176" s="29">
        <v>13030</v>
      </c>
      <c r="B176" s="31" t="s">
        <v>874</v>
      </c>
      <c r="C176" s="31" t="s">
        <v>228</v>
      </c>
      <c r="D176" s="31" t="s">
        <v>226</v>
      </c>
      <c r="E176" s="31" t="s">
        <v>729</v>
      </c>
      <c r="F176" s="32" t="s">
        <v>176</v>
      </c>
    </row>
    <row r="177" spans="1:6">
      <c r="A177" s="29">
        <v>13042</v>
      </c>
      <c r="B177" s="31" t="s">
        <v>875</v>
      </c>
      <c r="C177" s="31" t="s">
        <v>228</v>
      </c>
      <c r="D177" s="31" t="s">
        <v>391</v>
      </c>
      <c r="E177" s="31" t="s">
        <v>729</v>
      </c>
      <c r="F177" s="32" t="s">
        <v>176</v>
      </c>
    </row>
    <row r="178" spans="1:6">
      <c r="A178" s="29">
        <v>13052</v>
      </c>
      <c r="B178" s="31" t="s">
        <v>876</v>
      </c>
      <c r="C178" s="31" t="s">
        <v>228</v>
      </c>
      <c r="D178" s="31" t="s">
        <v>226</v>
      </c>
      <c r="E178" s="31" t="s">
        <v>729</v>
      </c>
      <c r="F178" s="32" t="s">
        <v>125</v>
      </c>
    </row>
    <row r="179" spans="1:6">
      <c r="A179" s="29">
        <v>13062</v>
      </c>
      <c r="B179" s="31" t="s">
        <v>877</v>
      </c>
      <c r="C179" s="31" t="s">
        <v>228</v>
      </c>
      <c r="D179" s="31" t="s">
        <v>226</v>
      </c>
      <c r="E179" s="31" t="s">
        <v>729</v>
      </c>
      <c r="F179" s="32" t="s">
        <v>125</v>
      </c>
    </row>
    <row r="180" spans="1:6">
      <c r="A180" s="29">
        <v>13074</v>
      </c>
      <c r="B180" s="31" t="s">
        <v>878</v>
      </c>
      <c r="C180" s="31" t="s">
        <v>228</v>
      </c>
      <c r="D180" s="31" t="s">
        <v>391</v>
      </c>
      <c r="E180" s="31" t="s">
        <v>729</v>
      </c>
      <c r="F180" s="32" t="s">
        <v>176</v>
      </c>
    </row>
    <row r="181" spans="1:6">
      <c r="A181" s="29">
        <v>13160</v>
      </c>
      <c r="B181" s="31" t="s">
        <v>879</v>
      </c>
      <c r="C181" s="31" t="s">
        <v>228</v>
      </c>
      <c r="D181" s="31" t="s">
        <v>169</v>
      </c>
      <c r="E181" s="31" t="s">
        <v>871</v>
      </c>
      <c r="F181" s="32" t="s">
        <v>93</v>
      </c>
    </row>
    <row r="182" spans="1:6">
      <c r="A182" s="29">
        <v>13001</v>
      </c>
      <c r="B182" s="31" t="s">
        <v>226</v>
      </c>
      <c r="C182" s="31" t="s">
        <v>228</v>
      </c>
      <c r="D182" s="31" t="s">
        <v>226</v>
      </c>
      <c r="E182" s="31" t="s">
        <v>729</v>
      </c>
      <c r="F182" s="32" t="s">
        <v>104</v>
      </c>
    </row>
    <row r="183" spans="1:6">
      <c r="A183" s="29">
        <v>13188</v>
      </c>
      <c r="B183" s="31" t="s">
        <v>880</v>
      </c>
      <c r="C183" s="31" t="s">
        <v>228</v>
      </c>
      <c r="D183" s="31" t="s">
        <v>226</v>
      </c>
      <c r="E183" s="31" t="s">
        <v>729</v>
      </c>
      <c r="F183" s="32" t="s">
        <v>176</v>
      </c>
    </row>
    <row r="184" spans="1:6">
      <c r="A184" s="29">
        <v>13222</v>
      </c>
      <c r="B184" s="31" t="s">
        <v>881</v>
      </c>
      <c r="C184" s="31" t="s">
        <v>228</v>
      </c>
      <c r="D184" s="31" t="s">
        <v>226</v>
      </c>
      <c r="E184" s="31" t="s">
        <v>729</v>
      </c>
      <c r="F184" s="32" t="s">
        <v>125</v>
      </c>
    </row>
    <row r="185" spans="1:6">
      <c r="A185" s="29">
        <v>13244</v>
      </c>
      <c r="B185" s="31" t="s">
        <v>882</v>
      </c>
      <c r="C185" s="31" t="s">
        <v>228</v>
      </c>
      <c r="D185" s="31" t="s">
        <v>226</v>
      </c>
      <c r="E185" s="31" t="s">
        <v>729</v>
      </c>
      <c r="F185" s="32" t="s">
        <v>116</v>
      </c>
    </row>
    <row r="186" spans="1:6">
      <c r="A186" s="29">
        <v>13248</v>
      </c>
      <c r="B186" s="31" t="s">
        <v>883</v>
      </c>
      <c r="C186" s="31" t="s">
        <v>228</v>
      </c>
      <c r="D186" s="31" t="s">
        <v>226</v>
      </c>
      <c r="E186" s="31" t="s">
        <v>729</v>
      </c>
      <c r="F186" s="32" t="s">
        <v>176</v>
      </c>
    </row>
    <row r="187" spans="1:6">
      <c r="A187" s="29">
        <v>13300</v>
      </c>
      <c r="B187" s="31" t="s">
        <v>884</v>
      </c>
      <c r="C187" s="31" t="s">
        <v>228</v>
      </c>
      <c r="D187" s="31" t="s">
        <v>391</v>
      </c>
      <c r="E187" s="31" t="s">
        <v>729</v>
      </c>
      <c r="F187" s="32" t="s">
        <v>176</v>
      </c>
    </row>
    <row r="188" spans="1:6">
      <c r="A188" s="29">
        <v>13430</v>
      </c>
      <c r="B188" s="31" t="s">
        <v>885</v>
      </c>
      <c r="C188" s="31" t="s">
        <v>228</v>
      </c>
      <c r="D188" s="31" t="s">
        <v>226</v>
      </c>
      <c r="E188" s="31" t="s">
        <v>729</v>
      </c>
      <c r="F188" s="32" t="s">
        <v>176</v>
      </c>
    </row>
    <row r="189" spans="1:6">
      <c r="A189" s="29">
        <v>13433</v>
      </c>
      <c r="B189" s="31" t="s">
        <v>886</v>
      </c>
      <c r="C189" s="31" t="s">
        <v>228</v>
      </c>
      <c r="D189" s="31" t="s">
        <v>226</v>
      </c>
      <c r="E189" s="31" t="s">
        <v>729</v>
      </c>
      <c r="F189" s="32" t="s">
        <v>125</v>
      </c>
    </row>
    <row r="190" spans="1:6">
      <c r="A190" s="29">
        <v>13440</v>
      </c>
      <c r="B190" s="31" t="s">
        <v>887</v>
      </c>
      <c r="C190" s="31" t="s">
        <v>228</v>
      </c>
      <c r="D190" s="31" t="s">
        <v>226</v>
      </c>
      <c r="E190" s="31" t="s">
        <v>729</v>
      </c>
      <c r="F190" s="32" t="s">
        <v>176</v>
      </c>
    </row>
    <row r="191" spans="1:6">
      <c r="A191" s="29">
        <v>13442</v>
      </c>
      <c r="B191" s="31" t="s">
        <v>888</v>
      </c>
      <c r="C191" s="31" t="s">
        <v>228</v>
      </c>
      <c r="D191" s="31" t="s">
        <v>226</v>
      </c>
      <c r="E191" s="31" t="s">
        <v>729</v>
      </c>
      <c r="F191" s="32" t="s">
        <v>125</v>
      </c>
    </row>
    <row r="192" spans="1:6">
      <c r="A192" s="29">
        <v>13468</v>
      </c>
      <c r="B192" s="31" t="s">
        <v>889</v>
      </c>
      <c r="C192" s="31" t="s">
        <v>228</v>
      </c>
      <c r="D192" s="31" t="s">
        <v>226</v>
      </c>
      <c r="E192" s="31" t="s">
        <v>729</v>
      </c>
      <c r="F192" s="32" t="s">
        <v>176</v>
      </c>
    </row>
    <row r="193" spans="1:6">
      <c r="A193" s="29">
        <v>13458</v>
      </c>
      <c r="B193" s="31" t="s">
        <v>890</v>
      </c>
      <c r="C193" s="31" t="s">
        <v>228</v>
      </c>
      <c r="D193" s="31" t="s">
        <v>226</v>
      </c>
      <c r="E193" s="31" t="s">
        <v>871</v>
      </c>
      <c r="F193" s="32" t="s">
        <v>93</v>
      </c>
    </row>
    <row r="194" spans="1:6">
      <c r="A194" s="29">
        <v>13490</v>
      </c>
      <c r="B194" s="31" t="s">
        <v>891</v>
      </c>
      <c r="C194" s="31" t="s">
        <v>228</v>
      </c>
      <c r="D194" s="31" t="s">
        <v>226</v>
      </c>
      <c r="E194" s="31" t="s">
        <v>729</v>
      </c>
      <c r="F194" s="32" t="s">
        <v>176</v>
      </c>
    </row>
    <row r="195" spans="1:6">
      <c r="A195" s="29">
        <v>13549</v>
      </c>
      <c r="B195" s="31" t="s">
        <v>892</v>
      </c>
      <c r="C195" s="31" t="s">
        <v>228</v>
      </c>
      <c r="D195" s="31" t="s">
        <v>226</v>
      </c>
      <c r="E195" s="31" t="s">
        <v>729</v>
      </c>
      <c r="F195" s="32" t="s">
        <v>176</v>
      </c>
    </row>
    <row r="196" spans="1:6">
      <c r="A196" s="29">
        <v>13580</v>
      </c>
      <c r="B196" s="31" t="s">
        <v>893</v>
      </c>
      <c r="C196" s="31" t="s">
        <v>228</v>
      </c>
      <c r="D196" s="31" t="s">
        <v>226</v>
      </c>
      <c r="E196" s="31" t="s">
        <v>729</v>
      </c>
      <c r="F196" s="32" t="s">
        <v>176</v>
      </c>
    </row>
    <row r="197" spans="1:6">
      <c r="A197" s="29">
        <v>13600</v>
      </c>
      <c r="B197" s="31" t="s">
        <v>894</v>
      </c>
      <c r="C197" s="31" t="s">
        <v>228</v>
      </c>
      <c r="D197" s="31" t="s">
        <v>391</v>
      </c>
      <c r="E197" s="31" t="s">
        <v>729</v>
      </c>
      <c r="F197" s="32" t="s">
        <v>176</v>
      </c>
    </row>
    <row r="198" spans="1:6">
      <c r="A198" s="29">
        <v>13620</v>
      </c>
      <c r="B198" s="31" t="s">
        <v>895</v>
      </c>
      <c r="C198" s="31" t="s">
        <v>228</v>
      </c>
      <c r="D198" s="31" t="s">
        <v>226</v>
      </c>
      <c r="E198" s="31" t="s">
        <v>729</v>
      </c>
      <c r="F198" s="32" t="s">
        <v>116</v>
      </c>
    </row>
    <row r="199" spans="1:6">
      <c r="A199" s="29">
        <v>13647</v>
      </c>
      <c r="B199" s="31" t="s">
        <v>896</v>
      </c>
      <c r="C199" s="31" t="s">
        <v>228</v>
      </c>
      <c r="D199" s="31" t="s">
        <v>226</v>
      </c>
      <c r="E199" s="31" t="s">
        <v>729</v>
      </c>
      <c r="F199" s="32" t="s">
        <v>125</v>
      </c>
    </row>
    <row r="200" spans="1:6">
      <c r="A200" s="29">
        <v>13650</v>
      </c>
      <c r="B200" s="31" t="s">
        <v>897</v>
      </c>
      <c r="C200" s="31" t="s">
        <v>228</v>
      </c>
      <c r="D200" s="31" t="s">
        <v>226</v>
      </c>
      <c r="E200" s="31" t="s">
        <v>729</v>
      </c>
      <c r="F200" s="32" t="s">
        <v>176</v>
      </c>
    </row>
    <row r="201" spans="1:6">
      <c r="A201" s="29">
        <v>13654</v>
      </c>
      <c r="B201" s="31" t="s">
        <v>898</v>
      </c>
      <c r="C201" s="31" t="s">
        <v>228</v>
      </c>
      <c r="D201" s="31" t="s">
        <v>226</v>
      </c>
      <c r="E201" s="31" t="s">
        <v>729</v>
      </c>
      <c r="F201" s="32" t="s">
        <v>116</v>
      </c>
    </row>
    <row r="202" spans="1:6">
      <c r="A202" s="29">
        <v>13655</v>
      </c>
      <c r="B202" s="31" t="s">
        <v>899</v>
      </c>
      <c r="C202" s="31" t="s">
        <v>228</v>
      </c>
      <c r="D202" s="31" t="s">
        <v>226</v>
      </c>
      <c r="E202" s="31" t="s">
        <v>729</v>
      </c>
      <c r="F202" s="32" t="s">
        <v>176</v>
      </c>
    </row>
    <row r="203" spans="1:6">
      <c r="A203" s="29">
        <v>13657</v>
      </c>
      <c r="B203" s="31" t="s">
        <v>900</v>
      </c>
      <c r="C203" s="31" t="s">
        <v>228</v>
      </c>
      <c r="D203" s="31" t="s">
        <v>226</v>
      </c>
      <c r="E203" s="31" t="s">
        <v>729</v>
      </c>
      <c r="F203" s="32" t="s">
        <v>125</v>
      </c>
    </row>
    <row r="204" spans="1:6">
      <c r="A204" s="29">
        <v>13667</v>
      </c>
      <c r="B204" s="31" t="s">
        <v>901</v>
      </c>
      <c r="C204" s="31" t="s">
        <v>228</v>
      </c>
      <c r="D204" s="31" t="s">
        <v>226</v>
      </c>
      <c r="E204" s="31" t="s">
        <v>729</v>
      </c>
      <c r="F204" s="32" t="s">
        <v>176</v>
      </c>
    </row>
    <row r="205" spans="1:6">
      <c r="A205" s="29">
        <v>13673</v>
      </c>
      <c r="B205" s="31" t="s">
        <v>902</v>
      </c>
      <c r="C205" s="31" t="s">
        <v>228</v>
      </c>
      <c r="D205" s="31" t="s">
        <v>226</v>
      </c>
      <c r="E205" s="31" t="s">
        <v>729</v>
      </c>
      <c r="F205" s="32" t="s">
        <v>125</v>
      </c>
    </row>
    <row r="206" spans="1:6">
      <c r="A206" s="29">
        <v>13688</v>
      </c>
      <c r="B206" s="31" t="s">
        <v>903</v>
      </c>
      <c r="C206" s="31" t="s">
        <v>228</v>
      </c>
      <c r="D206" s="31" t="s">
        <v>169</v>
      </c>
      <c r="E206" s="31" t="s">
        <v>871</v>
      </c>
      <c r="F206" s="32" t="s">
        <v>93</v>
      </c>
    </row>
    <row r="207" spans="1:6">
      <c r="A207" s="29">
        <v>13744</v>
      </c>
      <c r="B207" s="31" t="s">
        <v>904</v>
      </c>
      <c r="C207" s="31" t="s">
        <v>228</v>
      </c>
      <c r="D207" s="31" t="s">
        <v>169</v>
      </c>
      <c r="E207" s="31" t="s">
        <v>871</v>
      </c>
      <c r="F207" s="32" t="s">
        <v>93</v>
      </c>
    </row>
    <row r="208" spans="1:6">
      <c r="A208" s="29">
        <v>13760</v>
      </c>
      <c r="B208" s="31" t="s">
        <v>905</v>
      </c>
      <c r="C208" s="31" t="s">
        <v>228</v>
      </c>
      <c r="D208" s="31" t="s">
        <v>226</v>
      </c>
      <c r="E208" s="31" t="s">
        <v>729</v>
      </c>
      <c r="F208" s="32" t="s">
        <v>116</v>
      </c>
    </row>
    <row r="209" spans="1:6">
      <c r="A209" s="29">
        <v>13780</v>
      </c>
      <c r="B209" s="31" t="s">
        <v>906</v>
      </c>
      <c r="C209" s="31" t="s">
        <v>228</v>
      </c>
      <c r="D209" s="31" t="s">
        <v>226</v>
      </c>
      <c r="E209" s="31" t="s">
        <v>729</v>
      </c>
      <c r="F209" s="32" t="s">
        <v>176</v>
      </c>
    </row>
    <row r="210" spans="1:6">
      <c r="A210" s="29">
        <v>13810</v>
      </c>
      <c r="B210" s="31" t="s">
        <v>907</v>
      </c>
      <c r="C210" s="31" t="s">
        <v>228</v>
      </c>
      <c r="D210" s="31" t="s">
        <v>226</v>
      </c>
      <c r="E210" s="31" t="s">
        <v>729</v>
      </c>
      <c r="F210" s="32" t="s">
        <v>176</v>
      </c>
    </row>
    <row r="211" spans="1:6">
      <c r="A211" s="29">
        <v>13836</v>
      </c>
      <c r="B211" s="31" t="s">
        <v>908</v>
      </c>
      <c r="C211" s="31" t="s">
        <v>228</v>
      </c>
      <c r="D211" s="31" t="s">
        <v>226</v>
      </c>
      <c r="E211" s="31" t="s">
        <v>729</v>
      </c>
      <c r="F211" s="32" t="s">
        <v>125</v>
      </c>
    </row>
    <row r="212" spans="1:6">
      <c r="A212" s="29">
        <v>13838</v>
      </c>
      <c r="B212" s="31" t="s">
        <v>909</v>
      </c>
      <c r="C212" s="31" t="s">
        <v>228</v>
      </c>
      <c r="D212" s="31" t="s">
        <v>226</v>
      </c>
      <c r="E212" s="31" t="s">
        <v>729</v>
      </c>
      <c r="F212" s="32" t="s">
        <v>125</v>
      </c>
    </row>
    <row r="213" spans="1:6">
      <c r="A213" s="29">
        <v>13894</v>
      </c>
      <c r="B213" s="31" t="s">
        <v>910</v>
      </c>
      <c r="C213" s="31" t="s">
        <v>228</v>
      </c>
      <c r="D213" s="31" t="s">
        <v>226</v>
      </c>
      <c r="E213" s="31" t="s">
        <v>729</v>
      </c>
      <c r="F213" s="32" t="s">
        <v>176</v>
      </c>
    </row>
    <row r="214" spans="1:6">
      <c r="A214" s="29">
        <v>15087</v>
      </c>
      <c r="B214" s="30" t="s">
        <v>242</v>
      </c>
      <c r="C214" s="31" t="s">
        <v>154</v>
      </c>
      <c r="D214" s="31" t="s">
        <v>152</v>
      </c>
      <c r="E214" s="31" t="s">
        <v>729</v>
      </c>
      <c r="F214" s="32" t="s">
        <v>125</v>
      </c>
    </row>
    <row r="215" spans="1:6">
      <c r="A215" s="29">
        <v>15106</v>
      </c>
      <c r="B215" s="30" t="s">
        <v>732</v>
      </c>
      <c r="C215" s="31" t="s">
        <v>154</v>
      </c>
      <c r="D215" s="31" t="s">
        <v>152</v>
      </c>
      <c r="E215" s="31" t="s">
        <v>729</v>
      </c>
      <c r="F215" s="32" t="s">
        <v>116</v>
      </c>
    </row>
    <row r="216" spans="1:6">
      <c r="A216" s="29">
        <v>15109</v>
      </c>
      <c r="B216" s="30" t="s">
        <v>911</v>
      </c>
      <c r="C216" s="31" t="s">
        <v>154</v>
      </c>
      <c r="D216" s="31" t="s">
        <v>152</v>
      </c>
      <c r="E216" s="31" t="s">
        <v>729</v>
      </c>
      <c r="F216" s="32" t="s">
        <v>176</v>
      </c>
    </row>
    <row r="217" spans="1:6">
      <c r="A217" s="29">
        <v>15131</v>
      </c>
      <c r="B217" s="30" t="s">
        <v>733</v>
      </c>
      <c r="C217" s="31" t="s">
        <v>154</v>
      </c>
      <c r="D217" s="31" t="s">
        <v>152</v>
      </c>
      <c r="E217" s="31" t="s">
        <v>729</v>
      </c>
      <c r="F217" s="32" t="s">
        <v>125</v>
      </c>
    </row>
    <row r="218" spans="1:6">
      <c r="A218" s="29">
        <v>15189</v>
      </c>
      <c r="B218" s="30" t="s">
        <v>912</v>
      </c>
      <c r="C218" s="31" t="s">
        <v>154</v>
      </c>
      <c r="D218" s="31" t="s">
        <v>152</v>
      </c>
      <c r="E218" s="31" t="s">
        <v>729</v>
      </c>
      <c r="F218" s="32" t="s">
        <v>125</v>
      </c>
    </row>
    <row r="219" spans="1:6">
      <c r="A219" s="29">
        <v>15368</v>
      </c>
      <c r="B219" s="30" t="s">
        <v>738</v>
      </c>
      <c r="C219" s="31" t="s">
        <v>154</v>
      </c>
      <c r="D219" s="31" t="s">
        <v>152</v>
      </c>
      <c r="E219" s="31" t="s">
        <v>729</v>
      </c>
      <c r="F219" s="32" t="s">
        <v>176</v>
      </c>
    </row>
    <row r="220" spans="1:6">
      <c r="A220" s="29">
        <v>15401</v>
      </c>
      <c r="B220" s="30" t="s">
        <v>715</v>
      </c>
      <c r="C220" s="31" t="s">
        <v>154</v>
      </c>
      <c r="D220" s="31" t="s">
        <v>152</v>
      </c>
      <c r="E220" s="31" t="s">
        <v>729</v>
      </c>
      <c r="F220" s="32" t="s">
        <v>176</v>
      </c>
    </row>
    <row r="221" spans="1:6">
      <c r="A221" s="29">
        <v>15455</v>
      </c>
      <c r="B221" s="30" t="s">
        <v>913</v>
      </c>
      <c r="C221" s="31" t="s">
        <v>154</v>
      </c>
      <c r="D221" s="31" t="s">
        <v>152</v>
      </c>
      <c r="E221" s="31" t="s">
        <v>729</v>
      </c>
      <c r="F221" s="32" t="s">
        <v>176</v>
      </c>
    </row>
    <row r="222" spans="1:6">
      <c r="A222" s="29">
        <v>15514</v>
      </c>
      <c r="B222" s="30" t="s">
        <v>914</v>
      </c>
      <c r="C222" s="31" t="s">
        <v>154</v>
      </c>
      <c r="D222" s="31" t="s">
        <v>152</v>
      </c>
      <c r="E222" s="31" t="s">
        <v>729</v>
      </c>
      <c r="F222" s="32" t="s">
        <v>176</v>
      </c>
    </row>
    <row r="223" spans="1:6">
      <c r="A223" s="29">
        <v>15690</v>
      </c>
      <c r="B223" s="30" t="s">
        <v>915</v>
      </c>
      <c r="C223" s="31" t="s">
        <v>154</v>
      </c>
      <c r="D223" s="31" t="s">
        <v>152</v>
      </c>
      <c r="E223" s="31" t="s">
        <v>729</v>
      </c>
      <c r="F223" s="32" t="s">
        <v>116</v>
      </c>
    </row>
    <row r="224" spans="1:6">
      <c r="A224" s="29">
        <v>15022</v>
      </c>
      <c r="B224" s="31" t="s">
        <v>916</v>
      </c>
      <c r="C224" s="31" t="s">
        <v>154</v>
      </c>
      <c r="D224" s="31" t="s">
        <v>152</v>
      </c>
      <c r="E224" s="31" t="s">
        <v>729</v>
      </c>
      <c r="F224" s="32" t="s">
        <v>116</v>
      </c>
    </row>
    <row r="225" spans="1:6">
      <c r="A225" s="29">
        <v>15047</v>
      </c>
      <c r="B225" s="31" t="s">
        <v>917</v>
      </c>
      <c r="C225" s="31" t="s">
        <v>154</v>
      </c>
      <c r="D225" s="31" t="s">
        <v>152</v>
      </c>
      <c r="E225" s="31" t="s">
        <v>729</v>
      </c>
      <c r="F225" s="32" t="s">
        <v>116</v>
      </c>
    </row>
    <row r="226" spans="1:6">
      <c r="A226" s="29">
        <v>15051</v>
      </c>
      <c r="B226" s="31" t="s">
        <v>918</v>
      </c>
      <c r="C226" s="31" t="s">
        <v>154</v>
      </c>
      <c r="D226" s="31" t="s">
        <v>152</v>
      </c>
      <c r="E226" s="31" t="s">
        <v>729</v>
      </c>
      <c r="F226" s="32" t="s">
        <v>125</v>
      </c>
    </row>
    <row r="227" spans="1:6">
      <c r="A227" s="29">
        <v>15090</v>
      </c>
      <c r="B227" s="31" t="s">
        <v>919</v>
      </c>
      <c r="C227" s="31" t="s">
        <v>154</v>
      </c>
      <c r="D227" s="31" t="s">
        <v>152</v>
      </c>
      <c r="E227" s="31" t="s">
        <v>729</v>
      </c>
      <c r="F227" s="32" t="s">
        <v>116</v>
      </c>
    </row>
    <row r="228" spans="1:6">
      <c r="A228" s="29">
        <v>15092</v>
      </c>
      <c r="B228" s="31" t="s">
        <v>920</v>
      </c>
      <c r="C228" s="31" t="s">
        <v>154</v>
      </c>
      <c r="D228" s="31" t="s">
        <v>152</v>
      </c>
      <c r="E228" s="31" t="s">
        <v>729</v>
      </c>
      <c r="F228" s="32" t="s">
        <v>116</v>
      </c>
    </row>
    <row r="229" spans="1:6">
      <c r="A229" s="29">
        <v>15097</v>
      </c>
      <c r="B229" s="31" t="s">
        <v>921</v>
      </c>
      <c r="C229" s="31" t="s">
        <v>154</v>
      </c>
      <c r="D229" s="31" t="s">
        <v>152</v>
      </c>
      <c r="E229" s="31" t="s">
        <v>729</v>
      </c>
      <c r="F229" s="32" t="s">
        <v>176</v>
      </c>
    </row>
    <row r="230" spans="1:6">
      <c r="A230" s="29">
        <v>15104</v>
      </c>
      <c r="B230" s="31" t="s">
        <v>154</v>
      </c>
      <c r="C230" s="31" t="s">
        <v>154</v>
      </c>
      <c r="D230" s="31" t="s">
        <v>152</v>
      </c>
      <c r="E230" s="31" t="s">
        <v>729</v>
      </c>
      <c r="F230" s="32" t="s">
        <v>125</v>
      </c>
    </row>
    <row r="231" spans="1:6">
      <c r="A231" s="29">
        <v>15114</v>
      </c>
      <c r="B231" s="31" t="s">
        <v>922</v>
      </c>
      <c r="C231" s="31" t="s">
        <v>154</v>
      </c>
      <c r="D231" s="31" t="s">
        <v>152</v>
      </c>
      <c r="E231" s="31" t="s">
        <v>729</v>
      </c>
      <c r="F231" s="32" t="s">
        <v>125</v>
      </c>
    </row>
    <row r="232" spans="1:6">
      <c r="A232" s="29">
        <v>15135</v>
      </c>
      <c r="B232" s="31" t="s">
        <v>923</v>
      </c>
      <c r="C232" s="31" t="s">
        <v>154</v>
      </c>
      <c r="D232" s="31" t="s">
        <v>152</v>
      </c>
      <c r="E232" s="31" t="s">
        <v>729</v>
      </c>
      <c r="F232" s="32" t="s">
        <v>176</v>
      </c>
    </row>
    <row r="233" spans="1:6">
      <c r="A233" s="29">
        <v>15162</v>
      </c>
      <c r="B233" s="31" t="s">
        <v>924</v>
      </c>
      <c r="C233" s="31" t="s">
        <v>154</v>
      </c>
      <c r="D233" s="31" t="s">
        <v>152</v>
      </c>
      <c r="E233" s="31" t="s">
        <v>729</v>
      </c>
      <c r="F233" s="32" t="s">
        <v>125</v>
      </c>
    </row>
    <row r="234" spans="1:6">
      <c r="A234" s="29">
        <v>15172</v>
      </c>
      <c r="B234" s="31" t="s">
        <v>925</v>
      </c>
      <c r="C234" s="31" t="s">
        <v>154</v>
      </c>
      <c r="D234" s="31" t="s">
        <v>152</v>
      </c>
      <c r="E234" s="31" t="s">
        <v>729</v>
      </c>
      <c r="F234" s="32" t="s">
        <v>116</v>
      </c>
    </row>
    <row r="235" spans="1:6">
      <c r="A235" s="29">
        <v>15176</v>
      </c>
      <c r="B235" s="31" t="s">
        <v>926</v>
      </c>
      <c r="C235" s="31" t="s">
        <v>154</v>
      </c>
      <c r="D235" s="31" t="s">
        <v>152</v>
      </c>
      <c r="E235" s="31" t="s">
        <v>729</v>
      </c>
      <c r="F235" s="32" t="s">
        <v>116</v>
      </c>
    </row>
    <row r="236" spans="1:6">
      <c r="A236" s="29">
        <v>15232</v>
      </c>
      <c r="B236" s="31" t="s">
        <v>927</v>
      </c>
      <c r="C236" s="31" t="s">
        <v>154</v>
      </c>
      <c r="D236" s="31" t="s">
        <v>152</v>
      </c>
      <c r="E236" s="31" t="s">
        <v>729</v>
      </c>
      <c r="F236" s="32" t="s">
        <v>125</v>
      </c>
    </row>
    <row r="237" spans="1:6">
      <c r="A237" s="29">
        <v>15180</v>
      </c>
      <c r="B237" s="31" t="s">
        <v>928</v>
      </c>
      <c r="C237" s="31" t="s">
        <v>154</v>
      </c>
      <c r="D237" s="31" t="s">
        <v>152</v>
      </c>
      <c r="E237" s="31" t="s">
        <v>729</v>
      </c>
      <c r="F237" s="32" t="s">
        <v>176</v>
      </c>
    </row>
    <row r="238" spans="1:6">
      <c r="A238" s="29">
        <v>15183</v>
      </c>
      <c r="B238" s="31" t="s">
        <v>929</v>
      </c>
      <c r="C238" s="31" t="s">
        <v>154</v>
      </c>
      <c r="D238" s="31" t="s">
        <v>152</v>
      </c>
      <c r="E238" s="31" t="s">
        <v>729</v>
      </c>
      <c r="F238" s="32" t="s">
        <v>176</v>
      </c>
    </row>
    <row r="239" spans="1:6">
      <c r="A239" s="29">
        <v>15185</v>
      </c>
      <c r="B239" s="31" t="s">
        <v>930</v>
      </c>
      <c r="C239" s="31" t="s">
        <v>154</v>
      </c>
      <c r="D239" s="31" t="s">
        <v>152</v>
      </c>
      <c r="E239" s="31" t="s">
        <v>729</v>
      </c>
      <c r="F239" s="32" t="s">
        <v>125</v>
      </c>
    </row>
    <row r="240" spans="1:6">
      <c r="A240" s="29">
        <v>15187</v>
      </c>
      <c r="B240" s="31" t="s">
        <v>931</v>
      </c>
      <c r="C240" s="31" t="s">
        <v>154</v>
      </c>
      <c r="D240" s="31" t="s">
        <v>152</v>
      </c>
      <c r="E240" s="31" t="s">
        <v>729</v>
      </c>
      <c r="F240" s="32" t="s">
        <v>125</v>
      </c>
    </row>
    <row r="241" spans="1:6">
      <c r="A241" s="29">
        <v>15236</v>
      </c>
      <c r="B241" s="31" t="s">
        <v>932</v>
      </c>
      <c r="C241" s="31" t="s">
        <v>154</v>
      </c>
      <c r="D241" s="31" t="s">
        <v>152</v>
      </c>
      <c r="E241" s="31" t="s">
        <v>729</v>
      </c>
      <c r="F241" s="32" t="s">
        <v>116</v>
      </c>
    </row>
    <row r="242" spans="1:6">
      <c r="A242" s="29">
        <v>15204</v>
      </c>
      <c r="B242" s="31" t="s">
        <v>933</v>
      </c>
      <c r="C242" s="31" t="s">
        <v>154</v>
      </c>
      <c r="D242" s="31" t="s">
        <v>152</v>
      </c>
      <c r="E242" s="31" t="s">
        <v>729</v>
      </c>
      <c r="F242" s="32" t="s">
        <v>125</v>
      </c>
    </row>
    <row r="243" spans="1:6">
      <c r="A243" s="29">
        <v>15212</v>
      </c>
      <c r="B243" s="31" t="s">
        <v>934</v>
      </c>
      <c r="C243" s="31" t="s">
        <v>154</v>
      </c>
      <c r="D243" s="31" t="s">
        <v>152</v>
      </c>
      <c r="E243" s="31" t="s">
        <v>729</v>
      </c>
      <c r="F243" s="32" t="s">
        <v>116</v>
      </c>
    </row>
    <row r="244" spans="1:6">
      <c r="A244" s="29">
        <v>15215</v>
      </c>
      <c r="B244" s="31" t="s">
        <v>935</v>
      </c>
      <c r="C244" s="31" t="s">
        <v>154</v>
      </c>
      <c r="D244" s="31" t="s">
        <v>152</v>
      </c>
      <c r="E244" s="31" t="s">
        <v>729</v>
      </c>
      <c r="F244" s="32" t="s">
        <v>125</v>
      </c>
    </row>
    <row r="245" spans="1:6">
      <c r="A245" s="29">
        <v>15218</v>
      </c>
      <c r="B245" s="31" t="s">
        <v>936</v>
      </c>
      <c r="C245" s="31" t="s">
        <v>154</v>
      </c>
      <c r="D245" s="31" t="s">
        <v>152</v>
      </c>
      <c r="E245" s="31" t="s">
        <v>729</v>
      </c>
      <c r="F245" s="32" t="s">
        <v>176</v>
      </c>
    </row>
    <row r="246" spans="1:6">
      <c r="A246" s="29">
        <v>15223</v>
      </c>
      <c r="B246" s="31" t="s">
        <v>937</v>
      </c>
      <c r="C246" s="31" t="s">
        <v>154</v>
      </c>
      <c r="D246" s="31" t="s">
        <v>169</v>
      </c>
      <c r="E246" s="31" t="s">
        <v>717</v>
      </c>
      <c r="F246" s="32" t="s">
        <v>93</v>
      </c>
    </row>
    <row r="247" spans="1:6">
      <c r="A247" s="29">
        <v>15224</v>
      </c>
      <c r="B247" s="31" t="s">
        <v>938</v>
      </c>
      <c r="C247" s="31" t="s">
        <v>154</v>
      </c>
      <c r="D247" s="31" t="s">
        <v>152</v>
      </c>
      <c r="E247" s="31" t="s">
        <v>729</v>
      </c>
      <c r="F247" s="32" t="s">
        <v>125</v>
      </c>
    </row>
    <row r="248" spans="1:6">
      <c r="A248" s="29">
        <v>15226</v>
      </c>
      <c r="B248" s="31" t="s">
        <v>939</v>
      </c>
      <c r="C248" s="31" t="s">
        <v>154</v>
      </c>
      <c r="D248" s="31" t="s">
        <v>152</v>
      </c>
      <c r="E248" s="31" t="s">
        <v>729</v>
      </c>
      <c r="F248" s="32" t="s">
        <v>125</v>
      </c>
    </row>
    <row r="249" spans="1:6">
      <c r="A249" s="29">
        <v>15238</v>
      </c>
      <c r="B249" s="31" t="s">
        <v>940</v>
      </c>
      <c r="C249" s="31" t="s">
        <v>154</v>
      </c>
      <c r="D249" s="31" t="s">
        <v>152</v>
      </c>
      <c r="E249" s="31" t="s">
        <v>729</v>
      </c>
      <c r="F249" s="32" t="s">
        <v>125</v>
      </c>
    </row>
    <row r="250" spans="1:6">
      <c r="A250" s="29">
        <v>15244</v>
      </c>
      <c r="B250" s="31" t="s">
        <v>941</v>
      </c>
      <c r="C250" s="31" t="s">
        <v>154</v>
      </c>
      <c r="D250" s="31" t="s">
        <v>152</v>
      </c>
      <c r="E250" s="31" t="s">
        <v>729</v>
      </c>
      <c r="F250" s="32" t="s">
        <v>176</v>
      </c>
    </row>
    <row r="251" spans="1:6">
      <c r="A251" s="29">
        <v>15248</v>
      </c>
      <c r="B251" s="31" t="s">
        <v>942</v>
      </c>
      <c r="C251" s="31" t="s">
        <v>154</v>
      </c>
      <c r="D251" s="31" t="s">
        <v>152</v>
      </c>
      <c r="E251" s="31" t="s">
        <v>729</v>
      </c>
      <c r="F251" s="32" t="s">
        <v>176</v>
      </c>
    </row>
    <row r="252" spans="1:6">
      <c r="A252" s="29">
        <v>15272</v>
      </c>
      <c r="B252" s="31" t="s">
        <v>353</v>
      </c>
      <c r="C252" s="31" t="s">
        <v>154</v>
      </c>
      <c r="D252" s="31" t="s">
        <v>152</v>
      </c>
      <c r="E252" s="31" t="s">
        <v>729</v>
      </c>
      <c r="F252" s="32" t="s">
        <v>125</v>
      </c>
    </row>
    <row r="253" spans="1:6">
      <c r="A253" s="29">
        <v>15276</v>
      </c>
      <c r="B253" s="31" t="s">
        <v>943</v>
      </c>
      <c r="C253" s="31" t="s">
        <v>154</v>
      </c>
      <c r="D253" s="31" t="s">
        <v>152</v>
      </c>
      <c r="E253" s="31" t="s">
        <v>729</v>
      </c>
      <c r="F253" s="32" t="s">
        <v>125</v>
      </c>
    </row>
    <row r="254" spans="1:6">
      <c r="A254" s="29">
        <v>15293</v>
      </c>
      <c r="B254" s="31" t="s">
        <v>944</v>
      </c>
      <c r="C254" s="31" t="s">
        <v>154</v>
      </c>
      <c r="D254" s="31" t="s">
        <v>152</v>
      </c>
      <c r="E254" s="31" t="s">
        <v>729</v>
      </c>
      <c r="F254" s="32" t="s">
        <v>125</v>
      </c>
    </row>
    <row r="255" spans="1:6">
      <c r="A255" s="29">
        <v>15296</v>
      </c>
      <c r="B255" s="31" t="s">
        <v>945</v>
      </c>
      <c r="C255" s="31" t="s">
        <v>154</v>
      </c>
      <c r="D255" s="31" t="s">
        <v>152</v>
      </c>
      <c r="E255" s="31" t="s">
        <v>729</v>
      </c>
      <c r="F255" s="32" t="s">
        <v>116</v>
      </c>
    </row>
    <row r="256" spans="1:6">
      <c r="A256" s="29">
        <v>15299</v>
      </c>
      <c r="B256" s="31" t="s">
        <v>946</v>
      </c>
      <c r="C256" s="31" t="s">
        <v>154</v>
      </c>
      <c r="D256" s="31" t="s">
        <v>152</v>
      </c>
      <c r="E256" s="31" t="s">
        <v>729</v>
      </c>
      <c r="F256" s="32" t="s">
        <v>116</v>
      </c>
    </row>
    <row r="257" spans="1:6">
      <c r="A257" s="29">
        <v>15317</v>
      </c>
      <c r="B257" s="31" t="s">
        <v>947</v>
      </c>
      <c r="C257" s="31" t="s">
        <v>154</v>
      </c>
      <c r="D257" s="31" t="s">
        <v>152</v>
      </c>
      <c r="E257" s="31" t="s">
        <v>729</v>
      </c>
      <c r="F257" s="32" t="s">
        <v>176</v>
      </c>
    </row>
    <row r="258" spans="1:6">
      <c r="A258" s="29">
        <v>15322</v>
      </c>
      <c r="B258" s="31" t="s">
        <v>948</v>
      </c>
      <c r="C258" s="31" t="s">
        <v>154</v>
      </c>
      <c r="D258" s="31" t="s">
        <v>152</v>
      </c>
      <c r="E258" s="31" t="s">
        <v>729</v>
      </c>
      <c r="F258" s="32" t="s">
        <v>125</v>
      </c>
    </row>
    <row r="259" spans="1:6">
      <c r="A259" s="29">
        <v>15325</v>
      </c>
      <c r="B259" s="31" t="s">
        <v>949</v>
      </c>
      <c r="C259" s="31" t="s">
        <v>154</v>
      </c>
      <c r="D259" s="31" t="s">
        <v>152</v>
      </c>
      <c r="E259" s="31" t="s">
        <v>729</v>
      </c>
      <c r="F259" s="32" t="s">
        <v>116</v>
      </c>
    </row>
    <row r="260" spans="1:6">
      <c r="A260" s="29">
        <v>15332</v>
      </c>
      <c r="B260" s="31" t="s">
        <v>950</v>
      </c>
      <c r="C260" s="31" t="s">
        <v>154</v>
      </c>
      <c r="D260" s="31" t="s">
        <v>152</v>
      </c>
      <c r="E260" s="31" t="s">
        <v>729</v>
      </c>
      <c r="F260" s="32" t="s">
        <v>176</v>
      </c>
    </row>
    <row r="261" spans="1:6">
      <c r="A261" s="29">
        <v>15362</v>
      </c>
      <c r="B261" s="31" t="s">
        <v>951</v>
      </c>
      <c r="C261" s="31" t="s">
        <v>154</v>
      </c>
      <c r="D261" s="31" t="s">
        <v>152</v>
      </c>
      <c r="E261" s="31" t="s">
        <v>729</v>
      </c>
      <c r="F261" s="32" t="s">
        <v>125</v>
      </c>
    </row>
    <row r="262" spans="1:6">
      <c r="A262" s="29">
        <v>15367</v>
      </c>
      <c r="B262" s="31" t="s">
        <v>952</v>
      </c>
      <c r="C262" s="31" t="s">
        <v>154</v>
      </c>
      <c r="D262" s="31" t="s">
        <v>152</v>
      </c>
      <c r="E262" s="31" t="s">
        <v>729</v>
      </c>
      <c r="F262" s="32" t="s">
        <v>125</v>
      </c>
    </row>
    <row r="263" spans="1:6">
      <c r="A263" s="29">
        <v>15380</v>
      </c>
      <c r="B263" s="31" t="s">
        <v>953</v>
      </c>
      <c r="C263" s="31" t="s">
        <v>154</v>
      </c>
      <c r="D263" s="31" t="s">
        <v>152</v>
      </c>
      <c r="E263" s="31" t="s">
        <v>729</v>
      </c>
      <c r="F263" s="32" t="s">
        <v>116</v>
      </c>
    </row>
    <row r="264" spans="1:6">
      <c r="A264" s="29">
        <v>15403</v>
      </c>
      <c r="B264" s="31" t="s">
        <v>954</v>
      </c>
      <c r="C264" s="31" t="s">
        <v>154</v>
      </c>
      <c r="D264" s="31" t="s">
        <v>152</v>
      </c>
      <c r="E264" s="31" t="s">
        <v>729</v>
      </c>
      <c r="F264" s="32" t="s">
        <v>176</v>
      </c>
    </row>
    <row r="265" spans="1:6">
      <c r="A265" s="29">
        <v>15377</v>
      </c>
      <c r="B265" s="31" t="s">
        <v>955</v>
      </c>
      <c r="C265" s="31" t="s">
        <v>154</v>
      </c>
      <c r="D265" s="31" t="s">
        <v>152</v>
      </c>
      <c r="E265" s="31" t="s">
        <v>729</v>
      </c>
      <c r="F265" s="32" t="s">
        <v>176</v>
      </c>
    </row>
    <row r="266" spans="1:6">
      <c r="A266" s="29">
        <v>15425</v>
      </c>
      <c r="B266" s="31" t="s">
        <v>956</v>
      </c>
      <c r="C266" s="31" t="s">
        <v>154</v>
      </c>
      <c r="D266" s="31" t="s">
        <v>152</v>
      </c>
      <c r="E266" s="31" t="s">
        <v>729</v>
      </c>
      <c r="F266" s="32" t="s">
        <v>116</v>
      </c>
    </row>
    <row r="267" spans="1:6">
      <c r="A267" s="29">
        <v>15442</v>
      </c>
      <c r="B267" s="31" t="s">
        <v>957</v>
      </c>
      <c r="C267" s="31" t="s">
        <v>154</v>
      </c>
      <c r="D267" s="31" t="s">
        <v>152</v>
      </c>
      <c r="E267" s="31" t="s">
        <v>729</v>
      </c>
      <c r="F267" s="32" t="s">
        <v>176</v>
      </c>
    </row>
    <row r="268" spans="1:6">
      <c r="A268" s="29">
        <v>15464</v>
      </c>
      <c r="B268" s="31" t="s">
        <v>958</v>
      </c>
      <c r="C268" s="31" t="s">
        <v>154</v>
      </c>
      <c r="D268" s="31" t="s">
        <v>152</v>
      </c>
      <c r="E268" s="31" t="s">
        <v>729</v>
      </c>
      <c r="F268" s="32" t="s">
        <v>125</v>
      </c>
    </row>
    <row r="269" spans="1:6">
      <c r="A269" s="29">
        <v>15466</v>
      </c>
      <c r="B269" s="31" t="s">
        <v>959</v>
      </c>
      <c r="C269" s="31" t="s">
        <v>154</v>
      </c>
      <c r="D269" s="31" t="s">
        <v>152</v>
      </c>
      <c r="E269" s="31" t="s">
        <v>729</v>
      </c>
      <c r="F269" s="32" t="s">
        <v>116</v>
      </c>
    </row>
    <row r="270" spans="1:6">
      <c r="A270" s="29">
        <v>15469</v>
      </c>
      <c r="B270" s="31" t="s">
        <v>960</v>
      </c>
      <c r="C270" s="31" t="s">
        <v>154</v>
      </c>
      <c r="D270" s="31" t="s">
        <v>152</v>
      </c>
      <c r="E270" s="31" t="s">
        <v>729</v>
      </c>
      <c r="F270" s="32" t="s">
        <v>125</v>
      </c>
    </row>
    <row r="271" spans="1:6">
      <c r="A271" s="29">
        <v>15476</v>
      </c>
      <c r="B271" s="31" t="s">
        <v>961</v>
      </c>
      <c r="C271" s="31" t="s">
        <v>154</v>
      </c>
      <c r="D271" s="31" t="s">
        <v>152</v>
      </c>
      <c r="E271" s="31" t="s">
        <v>729</v>
      </c>
      <c r="F271" s="32" t="s">
        <v>104</v>
      </c>
    </row>
    <row r="272" spans="1:6">
      <c r="A272" s="29">
        <v>15480</v>
      </c>
      <c r="B272" s="31" t="s">
        <v>962</v>
      </c>
      <c r="C272" s="31" t="s">
        <v>154</v>
      </c>
      <c r="D272" s="31" t="s">
        <v>152</v>
      </c>
      <c r="E272" s="31" t="s">
        <v>729</v>
      </c>
      <c r="F272" s="32" t="s">
        <v>176</v>
      </c>
    </row>
    <row r="273" spans="1:6">
      <c r="A273" s="29">
        <v>15491</v>
      </c>
      <c r="B273" s="31" t="s">
        <v>963</v>
      </c>
      <c r="C273" s="31" t="s">
        <v>154</v>
      </c>
      <c r="D273" s="31" t="s">
        <v>152</v>
      </c>
      <c r="E273" s="31" t="s">
        <v>729</v>
      </c>
      <c r="F273" s="32" t="s">
        <v>125</v>
      </c>
    </row>
    <row r="274" spans="1:6">
      <c r="A274" s="29">
        <v>15494</v>
      </c>
      <c r="B274" s="31" t="s">
        <v>964</v>
      </c>
      <c r="C274" s="31" t="s">
        <v>154</v>
      </c>
      <c r="D274" s="31" t="s">
        <v>152</v>
      </c>
      <c r="E274" s="31" t="s">
        <v>729</v>
      </c>
      <c r="F274" s="32" t="s">
        <v>125</v>
      </c>
    </row>
    <row r="275" spans="1:6">
      <c r="A275" s="29">
        <v>15500</v>
      </c>
      <c r="B275" s="31" t="s">
        <v>965</v>
      </c>
      <c r="C275" s="31" t="s">
        <v>154</v>
      </c>
      <c r="D275" s="31" t="s">
        <v>152</v>
      </c>
      <c r="E275" s="31" t="s">
        <v>729</v>
      </c>
      <c r="F275" s="32" t="s">
        <v>125</v>
      </c>
    </row>
    <row r="276" spans="1:6">
      <c r="A276" s="29">
        <v>15507</v>
      </c>
      <c r="B276" s="31" t="s">
        <v>966</v>
      </c>
      <c r="C276" s="31" t="s">
        <v>154</v>
      </c>
      <c r="D276" s="31" t="s">
        <v>152</v>
      </c>
      <c r="E276" s="31" t="s">
        <v>729</v>
      </c>
      <c r="F276" s="32" t="s">
        <v>176</v>
      </c>
    </row>
    <row r="277" spans="1:6">
      <c r="A277" s="29">
        <v>15511</v>
      </c>
      <c r="B277" s="31" t="s">
        <v>967</v>
      </c>
      <c r="C277" s="31" t="s">
        <v>154</v>
      </c>
      <c r="D277" s="31" t="s">
        <v>152</v>
      </c>
      <c r="E277" s="31" t="s">
        <v>729</v>
      </c>
      <c r="F277" s="32" t="s">
        <v>116</v>
      </c>
    </row>
    <row r="278" spans="1:6">
      <c r="A278" s="29">
        <v>15516</v>
      </c>
      <c r="B278" s="31" t="s">
        <v>968</v>
      </c>
      <c r="C278" s="31" t="s">
        <v>154</v>
      </c>
      <c r="D278" s="31" t="s">
        <v>152</v>
      </c>
      <c r="E278" s="31" t="s">
        <v>729</v>
      </c>
      <c r="F278" s="32" t="s">
        <v>125</v>
      </c>
    </row>
    <row r="279" spans="1:6">
      <c r="A279" s="29">
        <v>15518</v>
      </c>
      <c r="B279" s="31" t="s">
        <v>969</v>
      </c>
      <c r="C279" s="31" t="s">
        <v>154</v>
      </c>
      <c r="D279" s="31" t="s">
        <v>970</v>
      </c>
      <c r="E279" s="31" t="s">
        <v>729</v>
      </c>
      <c r="F279" s="32" t="s">
        <v>116</v>
      </c>
    </row>
    <row r="280" spans="1:6">
      <c r="A280" s="29">
        <v>15522</v>
      </c>
      <c r="B280" s="31" t="s">
        <v>971</v>
      </c>
      <c r="C280" s="31" t="s">
        <v>154</v>
      </c>
      <c r="D280" s="31" t="s">
        <v>152</v>
      </c>
      <c r="E280" s="31" t="s">
        <v>729</v>
      </c>
      <c r="F280" s="32" t="s">
        <v>176</v>
      </c>
    </row>
    <row r="281" spans="1:6">
      <c r="A281" s="29">
        <v>15531</v>
      </c>
      <c r="B281" s="31" t="s">
        <v>972</v>
      </c>
      <c r="C281" s="31" t="s">
        <v>154</v>
      </c>
      <c r="D281" s="31" t="s">
        <v>152</v>
      </c>
      <c r="E281" s="31" t="s">
        <v>729</v>
      </c>
      <c r="F281" s="32" t="s">
        <v>116</v>
      </c>
    </row>
    <row r="282" spans="1:6">
      <c r="A282" s="29">
        <v>15533</v>
      </c>
      <c r="B282" s="31" t="s">
        <v>973</v>
      </c>
      <c r="C282" s="31" t="s">
        <v>154</v>
      </c>
      <c r="D282" s="31" t="s">
        <v>152</v>
      </c>
      <c r="E282" s="31" t="s">
        <v>729</v>
      </c>
      <c r="F282" s="32" t="s">
        <v>176</v>
      </c>
    </row>
    <row r="283" spans="1:6">
      <c r="A283" s="29">
        <v>15537</v>
      </c>
      <c r="B283" s="31" t="s">
        <v>974</v>
      </c>
      <c r="C283" s="31" t="s">
        <v>154</v>
      </c>
      <c r="D283" s="31" t="s">
        <v>152</v>
      </c>
      <c r="E283" s="31" t="s">
        <v>729</v>
      </c>
      <c r="F283" s="32" t="s">
        <v>125</v>
      </c>
    </row>
    <row r="284" spans="1:6">
      <c r="A284" s="29">
        <v>15542</v>
      </c>
      <c r="B284" s="31" t="s">
        <v>975</v>
      </c>
      <c r="C284" s="31" t="s">
        <v>154</v>
      </c>
      <c r="D284" s="31" t="s">
        <v>152</v>
      </c>
      <c r="E284" s="31" t="s">
        <v>729</v>
      </c>
      <c r="F284" s="32" t="s">
        <v>116</v>
      </c>
    </row>
    <row r="285" spans="1:6">
      <c r="A285" s="29">
        <v>15550</v>
      </c>
      <c r="B285" s="31" t="s">
        <v>976</v>
      </c>
      <c r="C285" s="31" t="s">
        <v>154</v>
      </c>
      <c r="D285" s="31" t="s">
        <v>152</v>
      </c>
      <c r="E285" s="31" t="s">
        <v>729</v>
      </c>
      <c r="F285" s="32" t="s">
        <v>176</v>
      </c>
    </row>
    <row r="286" spans="1:6">
      <c r="A286" s="29">
        <v>15572</v>
      </c>
      <c r="B286" s="31" t="s">
        <v>977</v>
      </c>
      <c r="C286" s="31" t="s">
        <v>154</v>
      </c>
      <c r="D286" s="31" t="s">
        <v>127</v>
      </c>
      <c r="E286" s="31" t="s">
        <v>729</v>
      </c>
      <c r="F286" s="32" t="s">
        <v>176</v>
      </c>
    </row>
    <row r="287" spans="1:6">
      <c r="A287" s="29">
        <v>15580</v>
      </c>
      <c r="B287" s="31" t="s">
        <v>978</v>
      </c>
      <c r="C287" s="31" t="s">
        <v>154</v>
      </c>
      <c r="D287" s="31" t="s">
        <v>152</v>
      </c>
      <c r="E287" s="31" t="s">
        <v>729</v>
      </c>
      <c r="F287" s="32" t="s">
        <v>176</v>
      </c>
    </row>
    <row r="288" spans="1:6">
      <c r="A288" s="29">
        <v>15599</v>
      </c>
      <c r="B288" s="31" t="s">
        <v>979</v>
      </c>
      <c r="C288" s="31" t="s">
        <v>154</v>
      </c>
      <c r="D288" s="31" t="s">
        <v>152</v>
      </c>
      <c r="E288" s="31" t="s">
        <v>729</v>
      </c>
      <c r="F288" s="32" t="s">
        <v>125</v>
      </c>
    </row>
    <row r="289" spans="1:6">
      <c r="A289" s="29">
        <v>15600</v>
      </c>
      <c r="B289" s="31" t="s">
        <v>980</v>
      </c>
      <c r="C289" s="31" t="s">
        <v>154</v>
      </c>
      <c r="D289" s="31" t="s">
        <v>152</v>
      </c>
      <c r="E289" s="31" t="s">
        <v>729</v>
      </c>
      <c r="F289" s="32" t="s">
        <v>125</v>
      </c>
    </row>
    <row r="290" spans="1:6">
      <c r="A290" s="29">
        <v>15621</v>
      </c>
      <c r="B290" s="31" t="s">
        <v>981</v>
      </c>
      <c r="C290" s="31" t="s">
        <v>154</v>
      </c>
      <c r="D290" s="31" t="s">
        <v>152</v>
      </c>
      <c r="E290" s="31" t="s">
        <v>729</v>
      </c>
      <c r="F290" s="32" t="s">
        <v>116</v>
      </c>
    </row>
    <row r="291" spans="1:6">
      <c r="A291" s="29">
        <v>15632</v>
      </c>
      <c r="B291" s="31" t="s">
        <v>982</v>
      </c>
      <c r="C291" s="31" t="s">
        <v>154</v>
      </c>
      <c r="D291" s="31" t="s">
        <v>152</v>
      </c>
      <c r="E291" s="31" t="s">
        <v>729</v>
      </c>
      <c r="F291" s="32" t="s">
        <v>125</v>
      </c>
    </row>
    <row r="292" spans="1:6">
      <c r="A292" s="29">
        <v>15638</v>
      </c>
      <c r="B292" s="31" t="s">
        <v>983</v>
      </c>
      <c r="C292" s="31" t="s">
        <v>154</v>
      </c>
      <c r="D292" s="31" t="s">
        <v>152</v>
      </c>
      <c r="E292" s="31" t="s">
        <v>729</v>
      </c>
      <c r="F292" s="32" t="s">
        <v>125</v>
      </c>
    </row>
    <row r="293" spans="1:6">
      <c r="A293" s="29">
        <v>15646</v>
      </c>
      <c r="B293" s="31" t="s">
        <v>984</v>
      </c>
      <c r="C293" s="31" t="s">
        <v>154</v>
      </c>
      <c r="D293" s="31" t="s">
        <v>152</v>
      </c>
      <c r="E293" s="31" t="s">
        <v>729</v>
      </c>
      <c r="F293" s="32" t="s">
        <v>125</v>
      </c>
    </row>
    <row r="294" spans="1:6">
      <c r="A294" s="29">
        <v>15660</v>
      </c>
      <c r="B294" s="31" t="s">
        <v>985</v>
      </c>
      <c r="C294" s="31" t="s">
        <v>154</v>
      </c>
      <c r="D294" s="31" t="s">
        <v>152</v>
      </c>
      <c r="E294" s="31" t="s">
        <v>729</v>
      </c>
      <c r="F294" s="32" t="s">
        <v>176</v>
      </c>
    </row>
    <row r="295" spans="1:6">
      <c r="A295" s="29">
        <v>15664</v>
      </c>
      <c r="B295" s="31" t="s">
        <v>986</v>
      </c>
      <c r="C295" s="31" t="s">
        <v>154</v>
      </c>
      <c r="D295" s="31" t="s">
        <v>152</v>
      </c>
      <c r="E295" s="31" t="s">
        <v>729</v>
      </c>
      <c r="F295" s="32" t="s">
        <v>125</v>
      </c>
    </row>
    <row r="296" spans="1:6">
      <c r="A296" s="29">
        <v>15667</v>
      </c>
      <c r="B296" s="31" t="s">
        <v>987</v>
      </c>
      <c r="C296" s="31" t="s">
        <v>154</v>
      </c>
      <c r="D296" s="31" t="s">
        <v>152</v>
      </c>
      <c r="E296" s="31" t="s">
        <v>729</v>
      </c>
      <c r="F296" s="32" t="s">
        <v>116</v>
      </c>
    </row>
    <row r="297" spans="1:6">
      <c r="A297" s="29">
        <v>15673</v>
      </c>
      <c r="B297" s="31" t="s">
        <v>988</v>
      </c>
      <c r="C297" s="31" t="s">
        <v>154</v>
      </c>
      <c r="D297" s="31" t="s">
        <v>152</v>
      </c>
      <c r="E297" s="31" t="s">
        <v>729</v>
      </c>
      <c r="F297" s="32" t="s">
        <v>176</v>
      </c>
    </row>
    <row r="298" spans="1:6">
      <c r="A298" s="29">
        <v>15676</v>
      </c>
      <c r="B298" s="31" t="s">
        <v>989</v>
      </c>
      <c r="C298" s="31" t="s">
        <v>154</v>
      </c>
      <c r="D298" s="31" t="s">
        <v>152</v>
      </c>
      <c r="E298" s="31" t="s">
        <v>729</v>
      </c>
      <c r="F298" s="32" t="s">
        <v>116</v>
      </c>
    </row>
    <row r="299" spans="1:6">
      <c r="A299" s="29">
        <v>15681</v>
      </c>
      <c r="B299" s="31" t="s">
        <v>990</v>
      </c>
      <c r="C299" s="31" t="s">
        <v>154</v>
      </c>
      <c r="D299" s="31" t="s">
        <v>152</v>
      </c>
      <c r="E299" s="31" t="s">
        <v>729</v>
      </c>
      <c r="F299" s="32" t="s">
        <v>176</v>
      </c>
    </row>
    <row r="300" spans="1:6">
      <c r="A300" s="29">
        <v>15693</v>
      </c>
      <c r="B300" s="31" t="s">
        <v>991</v>
      </c>
      <c r="C300" s="31" t="s">
        <v>154</v>
      </c>
      <c r="D300" s="31" t="s">
        <v>152</v>
      </c>
      <c r="E300" s="31" t="s">
        <v>729</v>
      </c>
      <c r="F300" s="32" t="s">
        <v>125</v>
      </c>
    </row>
    <row r="301" spans="1:6">
      <c r="A301" s="29">
        <v>15696</v>
      </c>
      <c r="B301" s="31" t="s">
        <v>992</v>
      </c>
      <c r="C301" s="31" t="s">
        <v>154</v>
      </c>
      <c r="D301" s="31" t="s">
        <v>152</v>
      </c>
      <c r="E301" s="31" t="s">
        <v>729</v>
      </c>
      <c r="F301" s="32" t="s">
        <v>125</v>
      </c>
    </row>
    <row r="302" spans="1:6">
      <c r="A302" s="29">
        <v>15686</v>
      </c>
      <c r="B302" s="31" t="s">
        <v>993</v>
      </c>
      <c r="C302" s="31" t="s">
        <v>154</v>
      </c>
      <c r="D302" s="31" t="s">
        <v>152</v>
      </c>
      <c r="E302" s="31" t="s">
        <v>729</v>
      </c>
      <c r="F302" s="32" t="s">
        <v>116</v>
      </c>
    </row>
    <row r="303" spans="1:6">
      <c r="A303" s="29">
        <v>15720</v>
      </c>
      <c r="B303" s="31" t="s">
        <v>994</v>
      </c>
      <c r="C303" s="31" t="s">
        <v>154</v>
      </c>
      <c r="D303" s="31" t="s">
        <v>152</v>
      </c>
      <c r="E303" s="31" t="s">
        <v>729</v>
      </c>
      <c r="F303" s="32" t="s">
        <v>116</v>
      </c>
    </row>
    <row r="304" spans="1:6">
      <c r="A304" s="29">
        <v>15723</v>
      </c>
      <c r="B304" s="31" t="s">
        <v>995</v>
      </c>
      <c r="C304" s="31" t="s">
        <v>154</v>
      </c>
      <c r="D304" s="31" t="s">
        <v>152</v>
      </c>
      <c r="E304" s="31" t="s">
        <v>729</v>
      </c>
      <c r="F304" s="32" t="s">
        <v>116</v>
      </c>
    </row>
    <row r="305" spans="1:6">
      <c r="A305" s="29">
        <v>15740</v>
      </c>
      <c r="B305" s="31" t="s">
        <v>996</v>
      </c>
      <c r="C305" s="31" t="s">
        <v>154</v>
      </c>
      <c r="D305" s="31" t="s">
        <v>152</v>
      </c>
      <c r="E305" s="31" t="s">
        <v>729</v>
      </c>
      <c r="F305" s="32" t="s">
        <v>125</v>
      </c>
    </row>
    <row r="306" spans="1:6">
      <c r="A306" s="29">
        <v>15753</v>
      </c>
      <c r="B306" s="31" t="s">
        <v>997</v>
      </c>
      <c r="C306" s="31" t="s">
        <v>154</v>
      </c>
      <c r="D306" s="31" t="s">
        <v>152</v>
      </c>
      <c r="E306" s="31" t="s">
        <v>729</v>
      </c>
      <c r="F306" s="32" t="s">
        <v>116</v>
      </c>
    </row>
    <row r="307" spans="1:6">
      <c r="A307" s="29">
        <v>15757</v>
      </c>
      <c r="B307" s="31" t="s">
        <v>998</v>
      </c>
      <c r="C307" s="31" t="s">
        <v>154</v>
      </c>
      <c r="D307" s="31" t="s">
        <v>152</v>
      </c>
      <c r="E307" s="31" t="s">
        <v>729</v>
      </c>
      <c r="F307" s="32" t="s">
        <v>116</v>
      </c>
    </row>
    <row r="308" spans="1:6">
      <c r="A308" s="29">
        <v>15755</v>
      </c>
      <c r="B308" s="31" t="s">
        <v>999</v>
      </c>
      <c r="C308" s="31" t="s">
        <v>154</v>
      </c>
      <c r="D308" s="31" t="s">
        <v>152</v>
      </c>
      <c r="E308" s="31" t="s">
        <v>729</v>
      </c>
      <c r="F308" s="32" t="s">
        <v>116</v>
      </c>
    </row>
    <row r="309" spans="1:6">
      <c r="A309" s="29">
        <v>15759</v>
      </c>
      <c r="B309" s="31" t="s">
        <v>1000</v>
      </c>
      <c r="C309" s="31" t="s">
        <v>154</v>
      </c>
      <c r="D309" s="31" t="s">
        <v>152</v>
      </c>
      <c r="E309" s="31" t="s">
        <v>729</v>
      </c>
      <c r="F309" s="32" t="s">
        <v>125</v>
      </c>
    </row>
    <row r="310" spans="1:6">
      <c r="A310" s="29">
        <v>15761</v>
      </c>
      <c r="B310" s="31" t="s">
        <v>1001</v>
      </c>
      <c r="C310" s="31" t="s">
        <v>154</v>
      </c>
      <c r="D310" s="31" t="s">
        <v>152</v>
      </c>
      <c r="E310" s="31" t="s">
        <v>729</v>
      </c>
      <c r="F310" s="32" t="s">
        <v>116</v>
      </c>
    </row>
    <row r="311" spans="1:6">
      <c r="A311" s="29">
        <v>15762</v>
      </c>
      <c r="B311" s="31" t="s">
        <v>1002</v>
      </c>
      <c r="C311" s="31" t="s">
        <v>154</v>
      </c>
      <c r="D311" s="31" t="s">
        <v>152</v>
      </c>
      <c r="E311" s="31" t="s">
        <v>729</v>
      </c>
      <c r="F311" s="32" t="s">
        <v>125</v>
      </c>
    </row>
    <row r="312" spans="1:6">
      <c r="A312" s="29">
        <v>15764</v>
      </c>
      <c r="B312" s="31" t="s">
        <v>1003</v>
      </c>
      <c r="C312" s="31" t="s">
        <v>154</v>
      </c>
      <c r="D312" s="31" t="s">
        <v>152</v>
      </c>
      <c r="E312" s="31" t="s">
        <v>729</v>
      </c>
      <c r="F312" s="32" t="s">
        <v>104</v>
      </c>
    </row>
    <row r="313" spans="1:6">
      <c r="A313" s="29">
        <v>15763</v>
      </c>
      <c r="B313" s="31" t="s">
        <v>1004</v>
      </c>
      <c r="C313" s="31" t="s">
        <v>154</v>
      </c>
      <c r="D313" s="31" t="s">
        <v>152</v>
      </c>
      <c r="E313" s="31" t="s">
        <v>729</v>
      </c>
      <c r="F313" s="32" t="s">
        <v>125</v>
      </c>
    </row>
    <row r="314" spans="1:6">
      <c r="A314" s="29">
        <v>15774</v>
      </c>
      <c r="B314" s="31" t="s">
        <v>1005</v>
      </c>
      <c r="C314" s="31" t="s">
        <v>154</v>
      </c>
      <c r="D314" s="31" t="s">
        <v>152</v>
      </c>
      <c r="E314" s="31" t="s">
        <v>729</v>
      </c>
      <c r="F314" s="32" t="s">
        <v>116</v>
      </c>
    </row>
    <row r="315" spans="1:6">
      <c r="A315" s="29">
        <v>15776</v>
      </c>
      <c r="B315" s="31" t="s">
        <v>1006</v>
      </c>
      <c r="C315" s="31" t="s">
        <v>154</v>
      </c>
      <c r="D315" s="31" t="s">
        <v>152</v>
      </c>
      <c r="E315" s="31" t="s">
        <v>729</v>
      </c>
      <c r="F315" s="32" t="s">
        <v>125</v>
      </c>
    </row>
    <row r="316" spans="1:6">
      <c r="A316" s="29">
        <v>15778</v>
      </c>
      <c r="B316" s="31" t="s">
        <v>1007</v>
      </c>
      <c r="C316" s="31" t="s">
        <v>154</v>
      </c>
      <c r="D316" s="31" t="s">
        <v>152</v>
      </c>
      <c r="E316" s="31" t="s">
        <v>729</v>
      </c>
      <c r="F316" s="32" t="s">
        <v>116</v>
      </c>
    </row>
    <row r="317" spans="1:6">
      <c r="A317" s="29">
        <v>15790</v>
      </c>
      <c r="B317" s="31" t="s">
        <v>1008</v>
      </c>
      <c r="C317" s="31" t="s">
        <v>154</v>
      </c>
      <c r="D317" s="31" t="s">
        <v>152</v>
      </c>
      <c r="E317" s="31" t="s">
        <v>729</v>
      </c>
      <c r="F317" s="32" t="s">
        <v>116</v>
      </c>
    </row>
    <row r="318" spans="1:6">
      <c r="A318" s="29">
        <v>15798</v>
      </c>
      <c r="B318" s="31" t="s">
        <v>1009</v>
      </c>
      <c r="C318" s="31" t="s">
        <v>154</v>
      </c>
      <c r="D318" s="31" t="s">
        <v>152</v>
      </c>
      <c r="E318" s="31" t="s">
        <v>729</v>
      </c>
      <c r="F318" s="32" t="s">
        <v>116</v>
      </c>
    </row>
    <row r="319" spans="1:6">
      <c r="A319" s="29">
        <v>15804</v>
      </c>
      <c r="B319" s="31" t="s">
        <v>1010</v>
      </c>
      <c r="C319" s="31" t="s">
        <v>154</v>
      </c>
      <c r="D319" s="31" t="s">
        <v>152</v>
      </c>
      <c r="E319" s="31" t="s">
        <v>729</v>
      </c>
      <c r="F319" s="32" t="s">
        <v>125</v>
      </c>
    </row>
    <row r="320" spans="1:6">
      <c r="A320" s="29">
        <v>15806</v>
      </c>
      <c r="B320" s="31" t="s">
        <v>1011</v>
      </c>
      <c r="C320" s="31" t="s">
        <v>154</v>
      </c>
      <c r="D320" s="31" t="s">
        <v>152</v>
      </c>
      <c r="E320" s="31" t="s">
        <v>729</v>
      </c>
      <c r="F320" s="32" t="s">
        <v>125</v>
      </c>
    </row>
    <row r="321" spans="1:6">
      <c r="A321" s="29">
        <v>15808</v>
      </c>
      <c r="B321" s="31" t="s">
        <v>1012</v>
      </c>
      <c r="C321" s="31" t="s">
        <v>154</v>
      </c>
      <c r="D321" s="31" t="s">
        <v>152</v>
      </c>
      <c r="E321" s="31" t="s">
        <v>729</v>
      </c>
      <c r="F321" s="32" t="s">
        <v>125</v>
      </c>
    </row>
    <row r="322" spans="1:6">
      <c r="A322" s="29">
        <v>15810</v>
      </c>
      <c r="B322" s="31" t="s">
        <v>1013</v>
      </c>
      <c r="C322" s="31" t="s">
        <v>154</v>
      </c>
      <c r="D322" s="31" t="s">
        <v>152</v>
      </c>
      <c r="E322" s="31" t="s">
        <v>729</v>
      </c>
      <c r="F322" s="32" t="s">
        <v>116</v>
      </c>
    </row>
    <row r="323" spans="1:6">
      <c r="A323" s="29">
        <v>15814</v>
      </c>
      <c r="B323" s="31" t="s">
        <v>1014</v>
      </c>
      <c r="C323" s="31" t="s">
        <v>154</v>
      </c>
      <c r="D323" s="31" t="s">
        <v>152</v>
      </c>
      <c r="E323" s="31" t="s">
        <v>729</v>
      </c>
      <c r="F323" s="32" t="s">
        <v>125</v>
      </c>
    </row>
    <row r="324" spans="1:6">
      <c r="A324" s="29">
        <v>15816</v>
      </c>
      <c r="B324" s="31" t="s">
        <v>1015</v>
      </c>
      <c r="C324" s="31" t="s">
        <v>154</v>
      </c>
      <c r="D324" s="31" t="s">
        <v>152</v>
      </c>
      <c r="E324" s="31" t="s">
        <v>729</v>
      </c>
      <c r="F324" s="32" t="s">
        <v>125</v>
      </c>
    </row>
    <row r="325" spans="1:6">
      <c r="A325" s="29">
        <v>15820</v>
      </c>
      <c r="B325" s="31" t="s">
        <v>1016</v>
      </c>
      <c r="C325" s="31" t="s">
        <v>154</v>
      </c>
      <c r="D325" s="31" t="s">
        <v>152</v>
      </c>
      <c r="E325" s="31" t="s">
        <v>729</v>
      </c>
      <c r="F325" s="32" t="s">
        <v>116</v>
      </c>
    </row>
    <row r="326" spans="1:6">
      <c r="A326" s="29">
        <v>15822</v>
      </c>
      <c r="B326" s="31" t="s">
        <v>1017</v>
      </c>
      <c r="C326" s="31" t="s">
        <v>154</v>
      </c>
      <c r="D326" s="31" t="s">
        <v>152</v>
      </c>
      <c r="E326" s="31" t="s">
        <v>729</v>
      </c>
      <c r="F326" s="32" t="s">
        <v>125</v>
      </c>
    </row>
    <row r="327" spans="1:6">
      <c r="A327" s="29">
        <v>15001</v>
      </c>
      <c r="B327" s="31" t="s">
        <v>152</v>
      </c>
      <c r="C327" s="31" t="s">
        <v>154</v>
      </c>
      <c r="D327" s="31" t="s">
        <v>152</v>
      </c>
      <c r="E327" s="31" t="s">
        <v>729</v>
      </c>
      <c r="F327" s="32" t="s">
        <v>104</v>
      </c>
    </row>
    <row r="328" spans="1:6">
      <c r="A328" s="29">
        <v>15832</v>
      </c>
      <c r="B328" s="31" t="s">
        <v>1018</v>
      </c>
      <c r="C328" s="31" t="s">
        <v>154</v>
      </c>
      <c r="D328" s="31" t="s">
        <v>152</v>
      </c>
      <c r="E328" s="31" t="s">
        <v>729</v>
      </c>
      <c r="F328" s="32" t="s">
        <v>116</v>
      </c>
    </row>
    <row r="329" spans="1:6">
      <c r="A329" s="29">
        <v>15835</v>
      </c>
      <c r="B329" s="31" t="s">
        <v>1019</v>
      </c>
      <c r="C329" s="31" t="s">
        <v>154</v>
      </c>
      <c r="D329" s="31" t="s">
        <v>152</v>
      </c>
      <c r="E329" s="31" t="s">
        <v>729</v>
      </c>
      <c r="F329" s="32" t="s">
        <v>125</v>
      </c>
    </row>
    <row r="330" spans="1:6">
      <c r="A330" s="29">
        <v>15837</v>
      </c>
      <c r="B330" s="31" t="s">
        <v>1020</v>
      </c>
      <c r="C330" s="31" t="s">
        <v>154</v>
      </c>
      <c r="D330" s="31" t="s">
        <v>152</v>
      </c>
      <c r="E330" s="31" t="s">
        <v>729</v>
      </c>
      <c r="F330" s="32" t="s">
        <v>125</v>
      </c>
    </row>
    <row r="331" spans="1:6">
      <c r="A331" s="29">
        <v>15839</v>
      </c>
      <c r="B331" s="31" t="s">
        <v>1021</v>
      </c>
      <c r="C331" s="31" t="s">
        <v>154</v>
      </c>
      <c r="D331" s="31" t="s">
        <v>152</v>
      </c>
      <c r="E331" s="31" t="s">
        <v>729</v>
      </c>
      <c r="F331" s="32" t="s">
        <v>125</v>
      </c>
    </row>
    <row r="332" spans="1:6">
      <c r="A332" s="29">
        <v>15842</v>
      </c>
      <c r="B332" s="31" t="s">
        <v>1022</v>
      </c>
      <c r="C332" s="31" t="s">
        <v>154</v>
      </c>
      <c r="D332" s="31" t="s">
        <v>152</v>
      </c>
      <c r="E332" s="31" t="s">
        <v>729</v>
      </c>
      <c r="F332" s="32" t="s">
        <v>125</v>
      </c>
    </row>
    <row r="333" spans="1:6">
      <c r="A333" s="29">
        <v>15861</v>
      </c>
      <c r="B333" s="31" t="s">
        <v>1023</v>
      </c>
      <c r="C333" s="31" t="s">
        <v>154</v>
      </c>
      <c r="D333" s="31" t="s">
        <v>152</v>
      </c>
      <c r="E333" s="31" t="s">
        <v>729</v>
      </c>
      <c r="F333" s="32" t="s">
        <v>125</v>
      </c>
    </row>
    <row r="334" spans="1:6">
      <c r="A334" s="29">
        <v>15407</v>
      </c>
      <c r="B334" s="31" t="s">
        <v>1024</v>
      </c>
      <c r="C334" s="31" t="s">
        <v>154</v>
      </c>
      <c r="D334" s="31" t="s">
        <v>152</v>
      </c>
      <c r="E334" s="31" t="s">
        <v>729</v>
      </c>
      <c r="F334" s="32" t="s">
        <v>125</v>
      </c>
    </row>
    <row r="335" spans="1:6">
      <c r="A335" s="29">
        <v>15879</v>
      </c>
      <c r="B335" s="31" t="s">
        <v>1025</v>
      </c>
      <c r="C335" s="31" t="s">
        <v>154</v>
      </c>
      <c r="D335" s="31" t="s">
        <v>152</v>
      </c>
      <c r="E335" s="31" t="s">
        <v>729</v>
      </c>
      <c r="F335" s="32" t="s">
        <v>125</v>
      </c>
    </row>
    <row r="336" spans="1:6">
      <c r="A336" s="29">
        <v>15897</v>
      </c>
      <c r="B336" s="31" t="s">
        <v>1026</v>
      </c>
      <c r="C336" s="31" t="s">
        <v>154</v>
      </c>
      <c r="D336" s="31" t="s">
        <v>152</v>
      </c>
      <c r="E336" s="31" t="s">
        <v>729</v>
      </c>
      <c r="F336" s="32" t="s">
        <v>116</v>
      </c>
    </row>
    <row r="337" spans="1:6">
      <c r="A337" s="29">
        <v>17524</v>
      </c>
      <c r="B337" s="30" t="s">
        <v>1027</v>
      </c>
      <c r="C337" s="31" t="s">
        <v>733</v>
      </c>
      <c r="D337" s="31" t="s">
        <v>1028</v>
      </c>
      <c r="E337" s="31" t="s">
        <v>729</v>
      </c>
      <c r="F337" s="32" t="s">
        <v>125</v>
      </c>
    </row>
    <row r="338" spans="1:6">
      <c r="A338" s="29">
        <v>17614</v>
      </c>
      <c r="B338" s="30" t="s">
        <v>82</v>
      </c>
      <c r="C338" s="31" t="s">
        <v>733</v>
      </c>
      <c r="D338" s="31" t="s">
        <v>1028</v>
      </c>
      <c r="E338" s="31" t="s">
        <v>729</v>
      </c>
      <c r="F338" s="32" t="s">
        <v>125</v>
      </c>
    </row>
    <row r="339" spans="1:6">
      <c r="A339" s="29">
        <v>17653</v>
      </c>
      <c r="B339" s="30" t="s">
        <v>1029</v>
      </c>
      <c r="C339" s="31" t="s">
        <v>733</v>
      </c>
      <c r="D339" s="31" t="s">
        <v>1028</v>
      </c>
      <c r="E339" s="31" t="s">
        <v>729</v>
      </c>
      <c r="F339" s="32" t="s">
        <v>125</v>
      </c>
    </row>
    <row r="340" spans="1:6">
      <c r="A340" s="29">
        <v>17013</v>
      </c>
      <c r="B340" s="31" t="s">
        <v>1030</v>
      </c>
      <c r="C340" s="31" t="s">
        <v>733</v>
      </c>
      <c r="D340" s="31" t="s">
        <v>1028</v>
      </c>
      <c r="E340" s="31" t="s">
        <v>729</v>
      </c>
      <c r="F340" s="32" t="s">
        <v>116</v>
      </c>
    </row>
    <row r="341" spans="1:6">
      <c r="A341" s="29">
        <v>17042</v>
      </c>
      <c r="B341" s="31" t="s">
        <v>1031</v>
      </c>
      <c r="C341" s="31" t="s">
        <v>733</v>
      </c>
      <c r="D341" s="31" t="s">
        <v>1028</v>
      </c>
      <c r="E341" s="31" t="s">
        <v>729</v>
      </c>
      <c r="F341" s="32" t="s">
        <v>125</v>
      </c>
    </row>
    <row r="342" spans="1:6">
      <c r="A342" s="29">
        <v>17050</v>
      </c>
      <c r="B342" s="31" t="s">
        <v>1032</v>
      </c>
      <c r="C342" s="31" t="s">
        <v>733</v>
      </c>
      <c r="D342" s="31" t="s">
        <v>1028</v>
      </c>
      <c r="E342" s="31" t="s">
        <v>729</v>
      </c>
      <c r="F342" s="32" t="s">
        <v>125</v>
      </c>
    </row>
    <row r="343" spans="1:6">
      <c r="A343" s="29">
        <v>17088</v>
      </c>
      <c r="B343" s="31" t="s">
        <v>1033</v>
      </c>
      <c r="C343" s="31" t="s">
        <v>733</v>
      </c>
      <c r="D343" s="31" t="s">
        <v>1028</v>
      </c>
      <c r="E343" s="31" t="s">
        <v>729</v>
      </c>
      <c r="F343" s="32" t="s">
        <v>125</v>
      </c>
    </row>
    <row r="344" spans="1:6">
      <c r="A344" s="29">
        <v>17174</v>
      </c>
      <c r="B344" s="31" t="s">
        <v>1034</v>
      </c>
      <c r="C344" s="31" t="s">
        <v>733</v>
      </c>
      <c r="D344" s="31" t="s">
        <v>1028</v>
      </c>
      <c r="E344" s="31" t="s">
        <v>729</v>
      </c>
      <c r="F344" s="32" t="s">
        <v>125</v>
      </c>
    </row>
    <row r="345" spans="1:6">
      <c r="A345" s="29">
        <v>17272</v>
      </c>
      <c r="B345" s="31" t="s">
        <v>1035</v>
      </c>
      <c r="C345" s="31" t="s">
        <v>733</v>
      </c>
      <c r="D345" s="31" t="s">
        <v>1028</v>
      </c>
      <c r="E345" s="31" t="s">
        <v>729</v>
      </c>
      <c r="F345" s="32" t="s">
        <v>125</v>
      </c>
    </row>
    <row r="346" spans="1:6">
      <c r="A346" s="29">
        <v>17380</v>
      </c>
      <c r="B346" s="31" t="s">
        <v>1036</v>
      </c>
      <c r="C346" s="31" t="s">
        <v>733</v>
      </c>
      <c r="D346" s="31" t="s">
        <v>118</v>
      </c>
      <c r="E346" s="31" t="s">
        <v>729</v>
      </c>
      <c r="F346" s="32" t="s">
        <v>116</v>
      </c>
    </row>
    <row r="347" spans="1:6">
      <c r="A347" s="29">
        <v>17388</v>
      </c>
      <c r="B347" s="31" t="s">
        <v>1037</v>
      </c>
      <c r="C347" s="31" t="s">
        <v>733</v>
      </c>
      <c r="D347" s="31" t="s">
        <v>1028</v>
      </c>
      <c r="E347" s="31" t="s">
        <v>729</v>
      </c>
      <c r="F347" s="32" t="s">
        <v>125</v>
      </c>
    </row>
    <row r="348" spans="1:6">
      <c r="A348" s="29">
        <v>17001</v>
      </c>
      <c r="B348" s="31" t="s">
        <v>1028</v>
      </c>
      <c r="C348" s="31" t="s">
        <v>733</v>
      </c>
      <c r="D348" s="31" t="s">
        <v>1028</v>
      </c>
      <c r="E348" s="31" t="s">
        <v>729</v>
      </c>
      <c r="F348" s="32" t="s">
        <v>104</v>
      </c>
    </row>
    <row r="349" spans="1:6">
      <c r="A349" s="29">
        <v>17433</v>
      </c>
      <c r="B349" s="31" t="s">
        <v>1038</v>
      </c>
      <c r="C349" s="31" t="s">
        <v>733</v>
      </c>
      <c r="D349" s="31" t="s">
        <v>1028</v>
      </c>
      <c r="E349" s="31" t="s">
        <v>729</v>
      </c>
      <c r="F349" s="32" t="s">
        <v>116</v>
      </c>
    </row>
    <row r="350" spans="1:6">
      <c r="A350" s="29">
        <v>17442</v>
      </c>
      <c r="B350" s="31" t="s">
        <v>1039</v>
      </c>
      <c r="C350" s="31" t="s">
        <v>733</v>
      </c>
      <c r="D350" s="31" t="s">
        <v>1028</v>
      </c>
      <c r="E350" s="31" t="s">
        <v>729</v>
      </c>
      <c r="F350" s="32" t="s">
        <v>125</v>
      </c>
    </row>
    <row r="351" spans="1:6">
      <c r="A351" s="29">
        <v>17444</v>
      </c>
      <c r="B351" s="31" t="s">
        <v>1040</v>
      </c>
      <c r="C351" s="31" t="s">
        <v>733</v>
      </c>
      <c r="D351" s="31" t="s">
        <v>1028</v>
      </c>
      <c r="E351" s="31" t="s">
        <v>729</v>
      </c>
      <c r="F351" s="32" t="s">
        <v>116</v>
      </c>
    </row>
    <row r="352" spans="1:6">
      <c r="A352" s="29">
        <v>17446</v>
      </c>
      <c r="B352" s="31" t="s">
        <v>1041</v>
      </c>
      <c r="C352" s="31" t="s">
        <v>733</v>
      </c>
      <c r="D352" s="31" t="s">
        <v>1028</v>
      </c>
      <c r="E352" s="31" t="s">
        <v>729</v>
      </c>
      <c r="F352" s="32" t="s">
        <v>116</v>
      </c>
    </row>
    <row r="353" spans="1:6">
      <c r="A353" s="29">
        <v>17486</v>
      </c>
      <c r="B353" s="31" t="s">
        <v>1042</v>
      </c>
      <c r="C353" s="31" t="s">
        <v>733</v>
      </c>
      <c r="D353" s="31" t="s">
        <v>1028</v>
      </c>
      <c r="E353" s="31" t="s">
        <v>729</v>
      </c>
      <c r="F353" s="32" t="s">
        <v>125</v>
      </c>
    </row>
    <row r="354" spans="1:6">
      <c r="A354" s="29">
        <v>17495</v>
      </c>
      <c r="B354" s="31" t="s">
        <v>1043</v>
      </c>
      <c r="C354" s="31" t="s">
        <v>733</v>
      </c>
      <c r="D354" s="31" t="s">
        <v>118</v>
      </c>
      <c r="E354" s="31" t="s">
        <v>729</v>
      </c>
      <c r="F354" s="32" t="s">
        <v>176</v>
      </c>
    </row>
    <row r="355" spans="1:6">
      <c r="A355" s="29">
        <v>17513</v>
      </c>
      <c r="B355" s="31" t="s">
        <v>1044</v>
      </c>
      <c r="C355" s="31" t="s">
        <v>733</v>
      </c>
      <c r="D355" s="31" t="s">
        <v>1028</v>
      </c>
      <c r="E355" s="31" t="s">
        <v>729</v>
      </c>
      <c r="F355" s="32" t="s">
        <v>116</v>
      </c>
    </row>
    <row r="356" spans="1:6">
      <c r="A356" s="29">
        <v>17541</v>
      </c>
      <c r="B356" s="31" t="s">
        <v>1045</v>
      </c>
      <c r="C356" s="31" t="s">
        <v>733</v>
      </c>
      <c r="D356" s="31" t="s">
        <v>1028</v>
      </c>
      <c r="E356" s="31" t="s">
        <v>729</v>
      </c>
      <c r="F356" s="32" t="s">
        <v>116</v>
      </c>
    </row>
    <row r="357" spans="1:6">
      <c r="A357" s="29">
        <v>17616</v>
      </c>
      <c r="B357" s="31" t="s">
        <v>1046</v>
      </c>
      <c r="C357" s="31" t="s">
        <v>733</v>
      </c>
      <c r="D357" s="31" t="s">
        <v>1028</v>
      </c>
      <c r="E357" s="31" t="s">
        <v>729</v>
      </c>
      <c r="F357" s="32" t="s">
        <v>125</v>
      </c>
    </row>
    <row r="358" spans="1:6">
      <c r="A358" s="29">
        <v>17662</v>
      </c>
      <c r="B358" s="31" t="s">
        <v>1047</v>
      </c>
      <c r="C358" s="31" t="s">
        <v>733</v>
      </c>
      <c r="D358" s="31" t="s">
        <v>1028</v>
      </c>
      <c r="E358" s="31" t="s">
        <v>729</v>
      </c>
      <c r="F358" s="32" t="s">
        <v>176</v>
      </c>
    </row>
    <row r="359" spans="1:6">
      <c r="A359" s="29">
        <v>17665</v>
      </c>
      <c r="B359" s="31" t="s">
        <v>1048</v>
      </c>
      <c r="C359" s="31" t="s">
        <v>733</v>
      </c>
      <c r="D359" s="31" t="s">
        <v>1028</v>
      </c>
      <c r="E359" s="31" t="s">
        <v>729</v>
      </c>
      <c r="F359" s="32" t="s">
        <v>125</v>
      </c>
    </row>
    <row r="360" spans="1:6">
      <c r="A360" s="29">
        <v>17777</v>
      </c>
      <c r="B360" s="31" t="s">
        <v>1049</v>
      </c>
      <c r="C360" s="31" t="s">
        <v>733</v>
      </c>
      <c r="D360" s="31" t="s">
        <v>1028</v>
      </c>
      <c r="E360" s="31" t="s">
        <v>729</v>
      </c>
      <c r="F360" s="32" t="s">
        <v>125</v>
      </c>
    </row>
    <row r="361" spans="1:6">
      <c r="A361" s="29">
        <v>17867</v>
      </c>
      <c r="B361" s="31" t="s">
        <v>1050</v>
      </c>
      <c r="C361" s="31" t="s">
        <v>733</v>
      </c>
      <c r="D361" s="31" t="s">
        <v>1028</v>
      </c>
      <c r="E361" s="31" t="s">
        <v>729</v>
      </c>
      <c r="F361" s="32" t="s">
        <v>116</v>
      </c>
    </row>
    <row r="362" spans="1:6">
      <c r="A362" s="29">
        <v>17873</v>
      </c>
      <c r="B362" s="31" t="s">
        <v>1051</v>
      </c>
      <c r="C362" s="31" t="s">
        <v>733</v>
      </c>
      <c r="D362" s="31" t="s">
        <v>1028</v>
      </c>
      <c r="E362" s="31" t="s">
        <v>729</v>
      </c>
      <c r="F362" s="32" t="s">
        <v>104</v>
      </c>
    </row>
    <row r="363" spans="1:6">
      <c r="A363" s="29">
        <v>17877</v>
      </c>
      <c r="B363" s="31" t="s">
        <v>1052</v>
      </c>
      <c r="C363" s="31" t="s">
        <v>733</v>
      </c>
      <c r="D363" s="31" t="s">
        <v>530</v>
      </c>
      <c r="E363" s="31" t="s">
        <v>729</v>
      </c>
      <c r="F363" s="32" t="s">
        <v>125</v>
      </c>
    </row>
    <row r="364" spans="1:6">
      <c r="A364" s="29">
        <v>18029</v>
      </c>
      <c r="B364" s="30" t="s">
        <v>1053</v>
      </c>
      <c r="C364" s="31" t="s">
        <v>289</v>
      </c>
      <c r="D364" s="31" t="s">
        <v>189</v>
      </c>
      <c r="E364" s="31" t="s">
        <v>729</v>
      </c>
      <c r="F364" s="32" t="s">
        <v>176</v>
      </c>
    </row>
    <row r="365" spans="1:6">
      <c r="A365" s="29">
        <v>18001</v>
      </c>
      <c r="B365" s="30" t="s">
        <v>1054</v>
      </c>
      <c r="C365" s="31" t="s">
        <v>289</v>
      </c>
      <c r="D365" s="31" t="s">
        <v>189</v>
      </c>
      <c r="E365" s="31" t="s">
        <v>729</v>
      </c>
      <c r="F365" s="32" t="s">
        <v>176</v>
      </c>
    </row>
    <row r="366" spans="1:6">
      <c r="A366" s="29">
        <v>18592</v>
      </c>
      <c r="B366" s="30" t="s">
        <v>290</v>
      </c>
      <c r="C366" s="31" t="s">
        <v>289</v>
      </c>
      <c r="D366" s="31" t="s">
        <v>189</v>
      </c>
      <c r="E366" s="31" t="s">
        <v>729</v>
      </c>
      <c r="F366" s="32" t="s">
        <v>93</v>
      </c>
    </row>
    <row r="367" spans="1:6">
      <c r="A367" s="29">
        <v>18860</v>
      </c>
      <c r="B367" s="30" t="s">
        <v>747</v>
      </c>
      <c r="C367" s="31" t="s">
        <v>289</v>
      </c>
      <c r="D367" s="31" t="s">
        <v>189</v>
      </c>
      <c r="E367" s="31" t="s">
        <v>729</v>
      </c>
      <c r="F367" s="32" t="s">
        <v>176</v>
      </c>
    </row>
    <row r="368" spans="1:6">
      <c r="A368" s="29">
        <v>18094</v>
      </c>
      <c r="B368" s="31" t="s">
        <v>1055</v>
      </c>
      <c r="C368" s="31" t="s">
        <v>289</v>
      </c>
      <c r="D368" s="31" t="s">
        <v>189</v>
      </c>
      <c r="E368" s="31" t="s">
        <v>729</v>
      </c>
      <c r="F368" s="32" t="s">
        <v>176</v>
      </c>
    </row>
    <row r="369" spans="1:6">
      <c r="A369" s="29">
        <v>18150</v>
      </c>
      <c r="B369" s="31" t="s">
        <v>1056</v>
      </c>
      <c r="C369" s="31" t="s">
        <v>289</v>
      </c>
      <c r="D369" s="31" t="s">
        <v>189</v>
      </c>
      <c r="E369" s="31" t="s">
        <v>729</v>
      </c>
      <c r="F369" s="32" t="s">
        <v>93</v>
      </c>
    </row>
    <row r="370" spans="1:6">
      <c r="A370" s="29">
        <v>18205</v>
      </c>
      <c r="B370" s="31" t="s">
        <v>1057</v>
      </c>
      <c r="C370" s="31" t="s">
        <v>289</v>
      </c>
      <c r="D370" s="31" t="s">
        <v>189</v>
      </c>
      <c r="E370" s="31" t="s">
        <v>729</v>
      </c>
      <c r="F370" s="32" t="s">
        <v>176</v>
      </c>
    </row>
    <row r="371" spans="1:6">
      <c r="A371" s="29">
        <v>18247</v>
      </c>
      <c r="B371" s="31" t="s">
        <v>1058</v>
      </c>
      <c r="C371" s="31" t="s">
        <v>289</v>
      </c>
      <c r="D371" s="31" t="s">
        <v>189</v>
      </c>
      <c r="E371" s="31" t="s">
        <v>729</v>
      </c>
      <c r="F371" s="32" t="s">
        <v>176</v>
      </c>
    </row>
    <row r="372" spans="1:6">
      <c r="A372" s="29">
        <v>18256</v>
      </c>
      <c r="B372" s="31" t="s">
        <v>1059</v>
      </c>
      <c r="C372" s="31" t="s">
        <v>289</v>
      </c>
      <c r="D372" s="31" t="s">
        <v>189</v>
      </c>
      <c r="E372" s="31" t="s">
        <v>729</v>
      </c>
      <c r="F372" s="32" t="s">
        <v>176</v>
      </c>
    </row>
    <row r="373" spans="1:6">
      <c r="A373" s="29">
        <v>18410</v>
      </c>
      <c r="B373" s="31" t="s">
        <v>1060</v>
      </c>
      <c r="C373" s="31" t="s">
        <v>289</v>
      </c>
      <c r="D373" s="31" t="s">
        <v>189</v>
      </c>
      <c r="E373" s="31" t="s">
        <v>729</v>
      </c>
      <c r="F373" s="32" t="s">
        <v>176</v>
      </c>
    </row>
    <row r="374" spans="1:6">
      <c r="A374" s="29">
        <v>18460</v>
      </c>
      <c r="B374" s="31" t="s">
        <v>1061</v>
      </c>
      <c r="C374" s="31" t="s">
        <v>289</v>
      </c>
      <c r="D374" s="31" t="s">
        <v>189</v>
      </c>
      <c r="E374" s="31" t="s">
        <v>729</v>
      </c>
      <c r="F374" s="32" t="s">
        <v>176</v>
      </c>
    </row>
    <row r="375" spans="1:6">
      <c r="A375" s="29">
        <v>18479</v>
      </c>
      <c r="B375" s="31" t="s">
        <v>1062</v>
      </c>
      <c r="C375" s="31" t="s">
        <v>289</v>
      </c>
      <c r="D375" s="31" t="s">
        <v>189</v>
      </c>
      <c r="E375" s="31" t="s">
        <v>729</v>
      </c>
      <c r="F375" s="32" t="s">
        <v>176</v>
      </c>
    </row>
    <row r="376" spans="1:6">
      <c r="A376" s="29">
        <v>18610</v>
      </c>
      <c r="B376" s="31" t="s">
        <v>1063</v>
      </c>
      <c r="C376" s="31" t="s">
        <v>289</v>
      </c>
      <c r="D376" s="31" t="s">
        <v>189</v>
      </c>
      <c r="E376" s="31" t="s">
        <v>729</v>
      </c>
      <c r="F376" s="32" t="s">
        <v>176</v>
      </c>
    </row>
    <row r="377" spans="1:6">
      <c r="A377" s="29">
        <v>18753</v>
      </c>
      <c r="B377" s="31" t="s">
        <v>1064</v>
      </c>
      <c r="C377" s="31" t="s">
        <v>289</v>
      </c>
      <c r="D377" s="31" t="s">
        <v>189</v>
      </c>
      <c r="E377" s="31" t="s">
        <v>1065</v>
      </c>
      <c r="F377" s="32" t="s">
        <v>93</v>
      </c>
    </row>
    <row r="378" spans="1:6">
      <c r="A378" s="29">
        <v>18756</v>
      </c>
      <c r="B378" s="31" t="s">
        <v>1066</v>
      </c>
      <c r="C378" s="31" t="s">
        <v>289</v>
      </c>
      <c r="D378" s="31" t="s">
        <v>189</v>
      </c>
      <c r="E378" s="31" t="s">
        <v>871</v>
      </c>
      <c r="F378" s="32" t="s">
        <v>93</v>
      </c>
    </row>
    <row r="379" spans="1:6">
      <c r="A379" s="29">
        <v>18785</v>
      </c>
      <c r="B379" s="31" t="s">
        <v>1067</v>
      </c>
      <c r="C379" s="31" t="s">
        <v>289</v>
      </c>
      <c r="D379" s="31" t="s">
        <v>189</v>
      </c>
      <c r="E379" s="31" t="s">
        <v>729</v>
      </c>
      <c r="F379" s="32" t="s">
        <v>176</v>
      </c>
    </row>
    <row r="380" spans="1:6">
      <c r="A380" s="29">
        <v>85300</v>
      </c>
      <c r="B380" s="30" t="s">
        <v>741</v>
      </c>
      <c r="C380" s="31" t="s">
        <v>430</v>
      </c>
      <c r="D380" s="31" t="s">
        <v>970</v>
      </c>
      <c r="E380" s="31" t="s">
        <v>729</v>
      </c>
      <c r="F380" s="32" t="s">
        <v>116</v>
      </c>
    </row>
    <row r="381" spans="1:6">
      <c r="A381" s="29">
        <v>85440</v>
      </c>
      <c r="B381" s="30" t="s">
        <v>431</v>
      </c>
      <c r="C381" s="31" t="s">
        <v>430</v>
      </c>
      <c r="D381" s="31" t="s">
        <v>106</v>
      </c>
      <c r="E381" s="31" t="s">
        <v>729</v>
      </c>
      <c r="F381" s="32" t="s">
        <v>116</v>
      </c>
    </row>
    <row r="382" spans="1:6">
      <c r="A382" s="29">
        <v>85010</v>
      </c>
      <c r="B382" s="31" t="s">
        <v>1068</v>
      </c>
      <c r="C382" s="31" t="s">
        <v>430</v>
      </c>
      <c r="D382" s="31" t="s">
        <v>970</v>
      </c>
      <c r="E382" s="31" t="s">
        <v>729</v>
      </c>
      <c r="F382" s="32" t="s">
        <v>125</v>
      </c>
    </row>
    <row r="383" spans="1:6">
      <c r="A383" s="29">
        <v>85015</v>
      </c>
      <c r="B383" s="31" t="s">
        <v>1069</v>
      </c>
      <c r="C383" s="31" t="s">
        <v>430</v>
      </c>
      <c r="D383" s="31" t="s">
        <v>970</v>
      </c>
      <c r="E383" s="31" t="s">
        <v>729</v>
      </c>
      <c r="F383" s="32" t="s">
        <v>176</v>
      </c>
    </row>
    <row r="384" spans="1:6">
      <c r="A384" s="29">
        <v>85125</v>
      </c>
      <c r="B384" s="31" t="s">
        <v>1070</v>
      </c>
      <c r="C384" s="31" t="s">
        <v>430</v>
      </c>
      <c r="D384" s="31" t="s">
        <v>970</v>
      </c>
      <c r="E384" s="31" t="s">
        <v>729</v>
      </c>
      <c r="F384" s="32" t="s">
        <v>116</v>
      </c>
    </row>
    <row r="385" spans="1:6">
      <c r="A385" s="29">
        <v>85136</v>
      </c>
      <c r="B385" s="31" t="s">
        <v>1071</v>
      </c>
      <c r="C385" s="31" t="s">
        <v>430</v>
      </c>
      <c r="D385" s="31" t="s">
        <v>970</v>
      </c>
      <c r="E385" s="31" t="s">
        <v>729</v>
      </c>
      <c r="F385" s="32" t="s">
        <v>176</v>
      </c>
    </row>
    <row r="386" spans="1:6">
      <c r="A386" s="29">
        <v>85139</v>
      </c>
      <c r="B386" s="31" t="s">
        <v>1072</v>
      </c>
      <c r="C386" s="31" t="s">
        <v>430</v>
      </c>
      <c r="D386" s="31" t="s">
        <v>970</v>
      </c>
      <c r="E386" s="31" t="s">
        <v>729</v>
      </c>
      <c r="F386" s="32" t="s">
        <v>125</v>
      </c>
    </row>
    <row r="387" spans="1:6">
      <c r="A387" s="29">
        <v>85162</v>
      </c>
      <c r="B387" s="31" t="s">
        <v>1073</v>
      </c>
      <c r="C387" s="31" t="s">
        <v>430</v>
      </c>
      <c r="D387" s="31" t="s">
        <v>970</v>
      </c>
      <c r="E387" s="31" t="s">
        <v>729</v>
      </c>
      <c r="F387" s="32" t="s">
        <v>125</v>
      </c>
    </row>
    <row r="388" spans="1:6">
      <c r="A388" s="29">
        <v>85225</v>
      </c>
      <c r="B388" s="31" t="s">
        <v>1074</v>
      </c>
      <c r="C388" s="31" t="s">
        <v>430</v>
      </c>
      <c r="D388" s="31" t="s">
        <v>970</v>
      </c>
      <c r="E388" s="31" t="s">
        <v>729</v>
      </c>
      <c r="F388" s="32" t="s">
        <v>125</v>
      </c>
    </row>
    <row r="389" spans="1:6">
      <c r="A389" s="29">
        <v>85230</v>
      </c>
      <c r="B389" s="31" t="s">
        <v>1075</v>
      </c>
      <c r="C389" s="31" t="s">
        <v>430</v>
      </c>
      <c r="D389" s="31" t="s">
        <v>970</v>
      </c>
      <c r="E389" s="31" t="s">
        <v>871</v>
      </c>
      <c r="F389" s="32" t="s">
        <v>93</v>
      </c>
    </row>
    <row r="390" spans="1:6">
      <c r="A390" s="29">
        <v>85250</v>
      </c>
      <c r="B390" s="31" t="s">
        <v>1076</v>
      </c>
      <c r="C390" s="31" t="s">
        <v>430</v>
      </c>
      <c r="D390" s="31" t="s">
        <v>970</v>
      </c>
      <c r="E390" s="31" t="s">
        <v>729</v>
      </c>
      <c r="F390" s="32" t="s">
        <v>125</v>
      </c>
    </row>
    <row r="391" spans="1:6">
      <c r="A391" s="29">
        <v>85263</v>
      </c>
      <c r="B391" s="31" t="s">
        <v>1077</v>
      </c>
      <c r="C391" s="31" t="s">
        <v>430</v>
      </c>
      <c r="D391" s="31" t="s">
        <v>970</v>
      </c>
      <c r="E391" s="31" t="s">
        <v>729</v>
      </c>
      <c r="F391" s="32" t="s">
        <v>125</v>
      </c>
    </row>
    <row r="392" spans="1:6">
      <c r="A392" s="29">
        <v>85279</v>
      </c>
      <c r="B392" s="31" t="s">
        <v>1078</v>
      </c>
      <c r="C392" s="31" t="s">
        <v>430</v>
      </c>
      <c r="D392" s="31" t="s">
        <v>970</v>
      </c>
      <c r="E392" s="31" t="s">
        <v>729</v>
      </c>
      <c r="F392" s="32" t="s">
        <v>116</v>
      </c>
    </row>
    <row r="393" spans="1:6">
      <c r="A393" s="29">
        <v>85315</v>
      </c>
      <c r="B393" s="31" t="s">
        <v>1079</v>
      </c>
      <c r="C393" s="31" t="s">
        <v>430</v>
      </c>
      <c r="D393" s="31" t="s">
        <v>970</v>
      </c>
      <c r="E393" s="31" t="s">
        <v>729</v>
      </c>
      <c r="F393" s="32" t="s">
        <v>176</v>
      </c>
    </row>
    <row r="394" spans="1:6">
      <c r="A394" s="29">
        <v>85325</v>
      </c>
      <c r="B394" s="31" t="s">
        <v>1080</v>
      </c>
      <c r="C394" s="31" t="s">
        <v>430</v>
      </c>
      <c r="D394" s="31" t="s">
        <v>970</v>
      </c>
      <c r="E394" s="31" t="s">
        <v>729</v>
      </c>
      <c r="F394" s="32" t="s">
        <v>125</v>
      </c>
    </row>
    <row r="395" spans="1:6">
      <c r="A395" s="29">
        <v>85400</v>
      </c>
      <c r="B395" s="31" t="s">
        <v>1081</v>
      </c>
      <c r="C395" s="31" t="s">
        <v>430</v>
      </c>
      <c r="D395" s="31" t="s">
        <v>970</v>
      </c>
      <c r="E395" s="31" t="s">
        <v>729</v>
      </c>
      <c r="F395" s="32" t="s">
        <v>116</v>
      </c>
    </row>
    <row r="396" spans="1:6">
      <c r="A396" s="29">
        <v>85410</v>
      </c>
      <c r="B396" s="31" t="s">
        <v>1082</v>
      </c>
      <c r="C396" s="31" t="s">
        <v>430</v>
      </c>
      <c r="D396" s="31" t="s">
        <v>970</v>
      </c>
      <c r="E396" s="31" t="s">
        <v>729</v>
      </c>
      <c r="F396" s="32" t="s">
        <v>125</v>
      </c>
    </row>
    <row r="397" spans="1:6">
      <c r="A397" s="29">
        <v>85430</v>
      </c>
      <c r="B397" s="31" t="s">
        <v>1083</v>
      </c>
      <c r="C397" s="31" t="s">
        <v>430</v>
      </c>
      <c r="D397" s="31" t="s">
        <v>970</v>
      </c>
      <c r="E397" s="31" t="s">
        <v>729</v>
      </c>
      <c r="F397" s="32" t="s">
        <v>125</v>
      </c>
    </row>
    <row r="398" spans="1:6">
      <c r="A398" s="29">
        <v>85001</v>
      </c>
      <c r="B398" s="31" t="s">
        <v>970</v>
      </c>
      <c r="C398" s="31" t="s">
        <v>430</v>
      </c>
      <c r="D398" s="31" t="s">
        <v>970</v>
      </c>
      <c r="E398" s="31" t="s">
        <v>729</v>
      </c>
      <c r="F398" s="32" t="s">
        <v>104</v>
      </c>
    </row>
    <row r="399" spans="1:6">
      <c r="A399" s="29">
        <v>19050</v>
      </c>
      <c r="B399" s="30" t="s">
        <v>728</v>
      </c>
      <c r="C399" s="31" t="s">
        <v>473</v>
      </c>
      <c r="D399" s="31" t="s">
        <v>95</v>
      </c>
      <c r="E399" s="31" t="s">
        <v>729</v>
      </c>
      <c r="F399" s="32" t="s">
        <v>176</v>
      </c>
    </row>
    <row r="400" spans="1:6">
      <c r="A400" s="29">
        <v>19075</v>
      </c>
      <c r="B400" s="30" t="s">
        <v>1084</v>
      </c>
      <c r="C400" s="31" t="s">
        <v>473</v>
      </c>
      <c r="D400" s="31" t="s">
        <v>95</v>
      </c>
      <c r="E400" s="31" t="s">
        <v>729</v>
      </c>
      <c r="F400" s="32" t="s">
        <v>176</v>
      </c>
    </row>
    <row r="401" spans="1:6">
      <c r="A401" s="29">
        <v>19100</v>
      </c>
      <c r="B401" s="30" t="s">
        <v>228</v>
      </c>
      <c r="C401" s="31" t="s">
        <v>473</v>
      </c>
      <c r="D401" s="31" t="s">
        <v>95</v>
      </c>
      <c r="E401" s="31" t="s">
        <v>729</v>
      </c>
      <c r="F401" s="32" t="s">
        <v>176</v>
      </c>
    </row>
    <row r="402" spans="1:6">
      <c r="A402" s="29">
        <v>19256</v>
      </c>
      <c r="B402" s="30" t="s">
        <v>1085</v>
      </c>
      <c r="C402" s="31" t="s">
        <v>473</v>
      </c>
      <c r="D402" s="31" t="s">
        <v>95</v>
      </c>
      <c r="E402" s="31" t="s">
        <v>729</v>
      </c>
      <c r="F402" s="32" t="s">
        <v>116</v>
      </c>
    </row>
    <row r="403" spans="1:6">
      <c r="A403" s="29">
        <v>19290</v>
      </c>
      <c r="B403" s="30" t="s">
        <v>1054</v>
      </c>
      <c r="C403" s="31" t="s">
        <v>473</v>
      </c>
      <c r="D403" s="31" t="s">
        <v>95</v>
      </c>
      <c r="E403" s="31" t="s">
        <v>729</v>
      </c>
      <c r="F403" s="32" t="s">
        <v>176</v>
      </c>
    </row>
    <row r="404" spans="1:6">
      <c r="A404" s="29">
        <v>19397</v>
      </c>
      <c r="B404" s="30" t="s">
        <v>1086</v>
      </c>
      <c r="C404" s="31" t="s">
        <v>473</v>
      </c>
      <c r="D404" s="31" t="s">
        <v>95</v>
      </c>
      <c r="E404" s="31" t="s">
        <v>729</v>
      </c>
      <c r="F404" s="32" t="s">
        <v>176</v>
      </c>
    </row>
    <row r="405" spans="1:6">
      <c r="A405" s="29">
        <v>19473</v>
      </c>
      <c r="B405" s="30" t="s">
        <v>869</v>
      </c>
      <c r="C405" s="31" t="s">
        <v>473</v>
      </c>
      <c r="D405" s="31" t="s">
        <v>95</v>
      </c>
      <c r="E405" s="31" t="s">
        <v>729</v>
      </c>
      <c r="F405" s="32" t="s">
        <v>116</v>
      </c>
    </row>
    <row r="406" spans="1:6">
      <c r="A406" s="29">
        <v>19517</v>
      </c>
      <c r="B406" s="30" t="s">
        <v>914</v>
      </c>
      <c r="C406" s="31" t="s">
        <v>473</v>
      </c>
      <c r="D406" s="31" t="s">
        <v>95</v>
      </c>
      <c r="E406" s="31" t="s">
        <v>729</v>
      </c>
      <c r="F406" s="32" t="s">
        <v>176</v>
      </c>
    </row>
    <row r="407" spans="1:6">
      <c r="A407" s="29">
        <v>19701</v>
      </c>
      <c r="B407" s="30" t="s">
        <v>872</v>
      </c>
      <c r="C407" s="31" t="s">
        <v>473</v>
      </c>
      <c r="D407" s="31" t="s">
        <v>95</v>
      </c>
      <c r="E407" s="31" t="s">
        <v>729</v>
      </c>
      <c r="F407" s="32" t="s">
        <v>176</v>
      </c>
    </row>
    <row r="408" spans="1:6">
      <c r="A408" s="29">
        <v>19780</v>
      </c>
      <c r="B408" s="30" t="s">
        <v>1087</v>
      </c>
      <c r="C408" s="31" t="s">
        <v>473</v>
      </c>
      <c r="D408" s="31" t="s">
        <v>95</v>
      </c>
      <c r="E408" s="31" t="s">
        <v>729</v>
      </c>
      <c r="F408" s="32" t="s">
        <v>116</v>
      </c>
    </row>
    <row r="409" spans="1:6">
      <c r="A409" s="29">
        <v>19785</v>
      </c>
      <c r="B409" s="30" t="s">
        <v>1088</v>
      </c>
      <c r="C409" s="31" t="s">
        <v>473</v>
      </c>
      <c r="D409" s="31" t="s">
        <v>95</v>
      </c>
      <c r="E409" s="31" t="s">
        <v>729</v>
      </c>
      <c r="F409" s="32" t="s">
        <v>176</v>
      </c>
    </row>
    <row r="410" spans="1:6">
      <c r="A410" s="29">
        <v>19022</v>
      </c>
      <c r="B410" s="31" t="s">
        <v>1089</v>
      </c>
      <c r="C410" s="31" t="s">
        <v>473</v>
      </c>
      <c r="D410" s="31" t="s">
        <v>95</v>
      </c>
      <c r="E410" s="31" t="s">
        <v>729</v>
      </c>
      <c r="F410" s="32" t="s">
        <v>176</v>
      </c>
    </row>
    <row r="411" spans="1:6">
      <c r="A411" s="29">
        <v>19110</v>
      </c>
      <c r="B411" s="31" t="s">
        <v>1090</v>
      </c>
      <c r="C411" s="31" t="s">
        <v>473</v>
      </c>
      <c r="D411" s="31" t="s">
        <v>95</v>
      </c>
      <c r="E411" s="31" t="s">
        <v>729</v>
      </c>
      <c r="F411" s="32" t="s">
        <v>125</v>
      </c>
    </row>
    <row r="412" spans="1:6">
      <c r="A412" s="29">
        <v>19130</v>
      </c>
      <c r="B412" s="31" t="s">
        <v>1091</v>
      </c>
      <c r="C412" s="31" t="s">
        <v>473</v>
      </c>
      <c r="D412" s="31" t="s">
        <v>95</v>
      </c>
      <c r="E412" s="31" t="s">
        <v>729</v>
      </c>
      <c r="F412" s="32" t="s">
        <v>116</v>
      </c>
    </row>
    <row r="413" spans="1:6">
      <c r="A413" s="29">
        <v>19137</v>
      </c>
      <c r="B413" s="31" t="s">
        <v>1092</v>
      </c>
      <c r="C413" s="31" t="s">
        <v>473</v>
      </c>
      <c r="D413" s="31" t="s">
        <v>95</v>
      </c>
      <c r="E413" s="31" t="s">
        <v>729</v>
      </c>
      <c r="F413" s="32" t="s">
        <v>116</v>
      </c>
    </row>
    <row r="414" spans="1:6">
      <c r="A414" s="29">
        <v>19142</v>
      </c>
      <c r="B414" s="31" t="s">
        <v>1093</v>
      </c>
      <c r="C414" s="31" t="s">
        <v>473</v>
      </c>
      <c r="D414" s="31" t="s">
        <v>95</v>
      </c>
      <c r="E414" s="31" t="s">
        <v>729</v>
      </c>
      <c r="F414" s="32" t="s">
        <v>125</v>
      </c>
    </row>
    <row r="415" spans="1:6">
      <c r="A415" s="29">
        <v>19212</v>
      </c>
      <c r="B415" s="31" t="s">
        <v>1094</v>
      </c>
      <c r="C415" s="31" t="s">
        <v>473</v>
      </c>
      <c r="D415" s="31" t="s">
        <v>95</v>
      </c>
      <c r="E415" s="31" t="s">
        <v>729</v>
      </c>
      <c r="F415" s="32" t="s">
        <v>116</v>
      </c>
    </row>
    <row r="416" spans="1:6">
      <c r="A416" s="29">
        <v>19300</v>
      </c>
      <c r="B416" s="31" t="s">
        <v>1095</v>
      </c>
      <c r="C416" s="31" t="s">
        <v>473</v>
      </c>
      <c r="D416" s="31" t="s">
        <v>95</v>
      </c>
      <c r="E416" s="31" t="s">
        <v>729</v>
      </c>
      <c r="F416" s="32" t="s">
        <v>125</v>
      </c>
    </row>
    <row r="417" spans="1:6">
      <c r="A417" s="29">
        <v>19318</v>
      </c>
      <c r="B417" s="31" t="s">
        <v>1096</v>
      </c>
      <c r="C417" s="31" t="s">
        <v>473</v>
      </c>
      <c r="D417" s="31" t="s">
        <v>95</v>
      </c>
      <c r="E417" s="31" t="s">
        <v>717</v>
      </c>
      <c r="F417" s="32" t="s">
        <v>93</v>
      </c>
    </row>
    <row r="418" spans="1:6">
      <c r="A418" s="29">
        <v>19355</v>
      </c>
      <c r="B418" s="31" t="s">
        <v>1097</v>
      </c>
      <c r="C418" s="31" t="s">
        <v>473</v>
      </c>
      <c r="D418" s="31" t="s">
        <v>95</v>
      </c>
      <c r="E418" s="31" t="s">
        <v>729</v>
      </c>
      <c r="F418" s="32" t="s">
        <v>176</v>
      </c>
    </row>
    <row r="419" spans="1:6">
      <c r="A419" s="29">
        <v>19364</v>
      </c>
      <c r="B419" s="31" t="s">
        <v>1098</v>
      </c>
      <c r="C419" s="31" t="s">
        <v>473</v>
      </c>
      <c r="D419" s="31" t="s">
        <v>95</v>
      </c>
      <c r="E419" s="31" t="s">
        <v>729</v>
      </c>
      <c r="F419" s="32" t="s">
        <v>116</v>
      </c>
    </row>
    <row r="420" spans="1:6">
      <c r="A420" s="29">
        <v>19392</v>
      </c>
      <c r="B420" s="31" t="s">
        <v>1099</v>
      </c>
      <c r="C420" s="31" t="s">
        <v>473</v>
      </c>
      <c r="D420" s="31" t="s">
        <v>95</v>
      </c>
      <c r="E420" s="31" t="s">
        <v>729</v>
      </c>
      <c r="F420" s="32" t="s">
        <v>116</v>
      </c>
    </row>
    <row r="421" spans="1:6">
      <c r="A421" s="29">
        <v>19418</v>
      </c>
      <c r="B421" s="31" t="s">
        <v>1100</v>
      </c>
      <c r="C421" s="31" t="s">
        <v>473</v>
      </c>
      <c r="D421" s="31" t="s">
        <v>95</v>
      </c>
      <c r="E421" s="31" t="s">
        <v>729</v>
      </c>
      <c r="F421" s="32" t="s">
        <v>176</v>
      </c>
    </row>
    <row r="422" spans="1:6">
      <c r="A422" s="29">
        <v>19450</v>
      </c>
      <c r="B422" s="31" t="s">
        <v>1101</v>
      </c>
      <c r="C422" s="31" t="s">
        <v>473</v>
      </c>
      <c r="D422" s="31" t="s">
        <v>95</v>
      </c>
      <c r="E422" s="31" t="s">
        <v>729</v>
      </c>
      <c r="F422" s="32" t="s">
        <v>176</v>
      </c>
    </row>
    <row r="423" spans="1:6">
      <c r="A423" s="29">
        <v>19455</v>
      </c>
      <c r="B423" s="31" t="s">
        <v>1102</v>
      </c>
      <c r="C423" s="31" t="s">
        <v>473</v>
      </c>
      <c r="D423" s="31" t="s">
        <v>95</v>
      </c>
      <c r="E423" s="31" t="s">
        <v>729</v>
      </c>
      <c r="F423" s="32" t="s">
        <v>116</v>
      </c>
    </row>
    <row r="424" spans="1:6">
      <c r="A424" s="29">
        <v>19513</v>
      </c>
      <c r="B424" s="31" t="s">
        <v>1103</v>
      </c>
      <c r="C424" s="31" t="s">
        <v>473</v>
      </c>
      <c r="D424" s="31" t="s">
        <v>95</v>
      </c>
      <c r="E424" s="31" t="s">
        <v>729</v>
      </c>
      <c r="F424" s="32" t="s">
        <v>125</v>
      </c>
    </row>
    <row r="425" spans="1:6">
      <c r="A425" s="29">
        <v>19532</v>
      </c>
      <c r="B425" s="31" t="s">
        <v>1104</v>
      </c>
      <c r="C425" s="31" t="s">
        <v>473</v>
      </c>
      <c r="D425" s="31" t="s">
        <v>95</v>
      </c>
      <c r="E425" s="31" t="s">
        <v>729</v>
      </c>
      <c r="F425" s="32" t="s">
        <v>176</v>
      </c>
    </row>
    <row r="426" spans="1:6">
      <c r="A426" s="29">
        <v>19533</v>
      </c>
      <c r="B426" s="31" t="s">
        <v>1105</v>
      </c>
      <c r="C426" s="31" t="s">
        <v>473</v>
      </c>
      <c r="D426" s="31" t="s">
        <v>239</v>
      </c>
      <c r="E426" s="31" t="s">
        <v>871</v>
      </c>
      <c r="F426" s="32" t="s">
        <v>93</v>
      </c>
    </row>
    <row r="427" spans="1:6">
      <c r="A427" s="29">
        <v>19548</v>
      </c>
      <c r="B427" s="31" t="s">
        <v>474</v>
      </c>
      <c r="C427" s="31" t="s">
        <v>473</v>
      </c>
      <c r="D427" s="31" t="s">
        <v>95</v>
      </c>
      <c r="E427" s="31" t="s">
        <v>729</v>
      </c>
      <c r="F427" s="32" t="s">
        <v>116</v>
      </c>
    </row>
    <row r="428" spans="1:6">
      <c r="A428" s="29">
        <v>19001</v>
      </c>
      <c r="B428" s="31" t="s">
        <v>1106</v>
      </c>
      <c r="C428" s="31" t="s">
        <v>473</v>
      </c>
      <c r="D428" s="31" t="s">
        <v>95</v>
      </c>
      <c r="E428" s="31" t="s">
        <v>729</v>
      </c>
      <c r="F428" s="32" t="s">
        <v>116</v>
      </c>
    </row>
    <row r="429" spans="1:6">
      <c r="A429" s="29">
        <v>19573</v>
      </c>
      <c r="B429" s="31" t="s">
        <v>1107</v>
      </c>
      <c r="C429" s="31" t="s">
        <v>473</v>
      </c>
      <c r="D429" s="31" t="s">
        <v>95</v>
      </c>
      <c r="E429" s="31" t="s">
        <v>729</v>
      </c>
      <c r="F429" s="32" t="s">
        <v>125</v>
      </c>
    </row>
    <row r="430" spans="1:6">
      <c r="A430" s="29">
        <v>19585</v>
      </c>
      <c r="B430" s="31" t="s">
        <v>1108</v>
      </c>
      <c r="C430" s="31" t="s">
        <v>473</v>
      </c>
      <c r="D430" s="31" t="s">
        <v>95</v>
      </c>
      <c r="E430" s="31" t="s">
        <v>729</v>
      </c>
      <c r="F430" s="32" t="s">
        <v>176</v>
      </c>
    </row>
    <row r="431" spans="1:6">
      <c r="A431" s="29">
        <v>19622</v>
      </c>
      <c r="B431" s="31" t="s">
        <v>1109</v>
      </c>
      <c r="C431" s="31" t="s">
        <v>473</v>
      </c>
      <c r="D431" s="31" t="s">
        <v>95</v>
      </c>
      <c r="E431" s="31" t="s">
        <v>729</v>
      </c>
      <c r="F431" s="32" t="s">
        <v>116</v>
      </c>
    </row>
    <row r="432" spans="1:6">
      <c r="A432" s="29">
        <v>19693</v>
      </c>
      <c r="B432" s="31" t="s">
        <v>1110</v>
      </c>
      <c r="C432" s="31" t="s">
        <v>473</v>
      </c>
      <c r="D432" s="31" t="s">
        <v>95</v>
      </c>
      <c r="E432" s="31" t="s">
        <v>729</v>
      </c>
      <c r="F432" s="32" t="s">
        <v>176</v>
      </c>
    </row>
    <row r="433" spans="1:6">
      <c r="A433" s="29">
        <v>19698</v>
      </c>
      <c r="B433" s="31" t="s">
        <v>1111</v>
      </c>
      <c r="C433" s="31" t="s">
        <v>473</v>
      </c>
      <c r="D433" s="31" t="s">
        <v>95</v>
      </c>
      <c r="E433" s="31" t="s">
        <v>729</v>
      </c>
      <c r="F433" s="32" t="s">
        <v>125</v>
      </c>
    </row>
    <row r="434" spans="1:6">
      <c r="A434" s="29">
        <v>19743</v>
      </c>
      <c r="B434" s="31" t="s">
        <v>1112</v>
      </c>
      <c r="C434" s="31" t="s">
        <v>473</v>
      </c>
      <c r="D434" s="31" t="s">
        <v>95</v>
      </c>
      <c r="E434" s="31" t="s">
        <v>729</v>
      </c>
      <c r="F434" s="32" t="s">
        <v>116</v>
      </c>
    </row>
    <row r="435" spans="1:6">
      <c r="A435" s="29">
        <v>19760</v>
      </c>
      <c r="B435" s="31" t="s">
        <v>1113</v>
      </c>
      <c r="C435" s="31" t="s">
        <v>473</v>
      </c>
      <c r="D435" s="31" t="s">
        <v>95</v>
      </c>
      <c r="E435" s="31" t="s">
        <v>729</v>
      </c>
      <c r="F435" s="32" t="s">
        <v>116</v>
      </c>
    </row>
    <row r="436" spans="1:6">
      <c r="A436" s="29">
        <v>19807</v>
      </c>
      <c r="B436" s="31" t="s">
        <v>1114</v>
      </c>
      <c r="C436" s="31" t="s">
        <v>473</v>
      </c>
      <c r="D436" s="31" t="s">
        <v>95</v>
      </c>
      <c r="E436" s="31" t="s">
        <v>729</v>
      </c>
      <c r="F436" s="32" t="s">
        <v>116</v>
      </c>
    </row>
    <row r="437" spans="1:6">
      <c r="A437" s="29">
        <v>19809</v>
      </c>
      <c r="B437" s="31" t="s">
        <v>1115</v>
      </c>
      <c r="C437" s="31" t="s">
        <v>473</v>
      </c>
      <c r="D437" s="31" t="s">
        <v>95</v>
      </c>
      <c r="E437" s="31" t="s">
        <v>717</v>
      </c>
      <c r="F437" s="32" t="s">
        <v>93</v>
      </c>
    </row>
    <row r="438" spans="1:6">
      <c r="A438" s="29">
        <v>19821</v>
      </c>
      <c r="B438" s="31" t="s">
        <v>1116</v>
      </c>
      <c r="C438" s="31" t="s">
        <v>473</v>
      </c>
      <c r="D438" s="31" t="s">
        <v>95</v>
      </c>
      <c r="E438" s="31" t="s">
        <v>729</v>
      </c>
      <c r="F438" s="32" t="s">
        <v>116</v>
      </c>
    </row>
    <row r="439" spans="1:6">
      <c r="A439" s="29">
        <v>19824</v>
      </c>
      <c r="B439" s="31" t="s">
        <v>1117</v>
      </c>
      <c r="C439" s="31" t="s">
        <v>473</v>
      </c>
      <c r="D439" s="31" t="s">
        <v>95</v>
      </c>
      <c r="E439" s="31" t="s">
        <v>729</v>
      </c>
      <c r="F439" s="32" t="s">
        <v>116</v>
      </c>
    </row>
    <row r="440" spans="1:6">
      <c r="A440" s="29">
        <v>19845</v>
      </c>
      <c r="B440" s="31" t="s">
        <v>1118</v>
      </c>
      <c r="C440" s="31" t="s">
        <v>473</v>
      </c>
      <c r="D440" s="31" t="s">
        <v>95</v>
      </c>
      <c r="E440" s="31" t="s">
        <v>729</v>
      </c>
      <c r="F440" s="32" t="s">
        <v>176</v>
      </c>
    </row>
    <row r="441" spans="1:6">
      <c r="A441" s="29">
        <v>20621</v>
      </c>
      <c r="B441" s="30" t="s">
        <v>1119</v>
      </c>
      <c r="C441" s="31" t="s">
        <v>393</v>
      </c>
      <c r="D441" s="31" t="s">
        <v>391</v>
      </c>
      <c r="E441" s="31" t="s">
        <v>729</v>
      </c>
      <c r="F441" s="32" t="s">
        <v>125</v>
      </c>
    </row>
    <row r="442" spans="1:6">
      <c r="A442" s="29">
        <v>20443</v>
      </c>
      <c r="B442" s="30" t="s">
        <v>1120</v>
      </c>
      <c r="C442" s="31" t="s">
        <v>393</v>
      </c>
      <c r="D442" s="31" t="s">
        <v>391</v>
      </c>
      <c r="E442" s="31" t="s">
        <v>729</v>
      </c>
      <c r="F442" s="32" t="s">
        <v>125</v>
      </c>
    </row>
    <row r="443" spans="1:6">
      <c r="A443" s="29">
        <v>20770</v>
      </c>
      <c r="B443" s="30" t="s">
        <v>1121</v>
      </c>
      <c r="C443" s="31" t="s">
        <v>393</v>
      </c>
      <c r="D443" s="31" t="s">
        <v>169</v>
      </c>
      <c r="E443" s="31" t="s">
        <v>729</v>
      </c>
      <c r="F443" s="32" t="s">
        <v>116</v>
      </c>
    </row>
    <row r="444" spans="1:6">
      <c r="A444" s="29">
        <v>20011</v>
      </c>
      <c r="B444" s="31" t="s">
        <v>1122</v>
      </c>
      <c r="C444" s="31" t="s">
        <v>393</v>
      </c>
      <c r="D444" s="31" t="s">
        <v>391</v>
      </c>
      <c r="E444" s="31" t="s">
        <v>729</v>
      </c>
      <c r="F444" s="32" t="s">
        <v>176</v>
      </c>
    </row>
    <row r="445" spans="1:6">
      <c r="A445" s="29">
        <v>20013</v>
      </c>
      <c r="B445" s="31" t="s">
        <v>1123</v>
      </c>
      <c r="C445" s="31" t="s">
        <v>393</v>
      </c>
      <c r="D445" s="31" t="s">
        <v>391</v>
      </c>
      <c r="E445" s="31" t="s">
        <v>729</v>
      </c>
      <c r="F445" s="32" t="s">
        <v>125</v>
      </c>
    </row>
    <row r="446" spans="1:6">
      <c r="A446" s="29">
        <v>20032</v>
      </c>
      <c r="B446" s="31" t="s">
        <v>1124</v>
      </c>
      <c r="C446" s="31" t="s">
        <v>393</v>
      </c>
      <c r="D446" s="31" t="s">
        <v>391</v>
      </c>
      <c r="E446" s="31" t="s">
        <v>729</v>
      </c>
      <c r="F446" s="32" t="s">
        <v>116</v>
      </c>
    </row>
    <row r="447" spans="1:6">
      <c r="A447" s="29">
        <v>20045</v>
      </c>
      <c r="B447" s="31" t="s">
        <v>1125</v>
      </c>
      <c r="C447" s="31" t="s">
        <v>393</v>
      </c>
      <c r="D447" s="31" t="s">
        <v>391</v>
      </c>
      <c r="E447" s="31" t="s">
        <v>729</v>
      </c>
      <c r="F447" s="32" t="s">
        <v>125</v>
      </c>
    </row>
    <row r="448" spans="1:6">
      <c r="A448" s="29">
        <v>20060</v>
      </c>
      <c r="B448" s="31" t="s">
        <v>1126</v>
      </c>
      <c r="C448" s="31" t="s">
        <v>393</v>
      </c>
      <c r="D448" s="31" t="s">
        <v>391</v>
      </c>
      <c r="E448" s="31" t="s">
        <v>729</v>
      </c>
      <c r="F448" s="32" t="s">
        <v>125</v>
      </c>
    </row>
    <row r="449" spans="1:6">
      <c r="A449" s="29">
        <v>20175</v>
      </c>
      <c r="B449" s="31" t="s">
        <v>1127</v>
      </c>
      <c r="C449" s="31" t="s">
        <v>393</v>
      </c>
      <c r="D449" s="31" t="s">
        <v>391</v>
      </c>
      <c r="E449" s="31" t="s">
        <v>729</v>
      </c>
      <c r="F449" s="32" t="s">
        <v>176</v>
      </c>
    </row>
    <row r="450" spans="1:6">
      <c r="A450" s="29">
        <v>20178</v>
      </c>
      <c r="B450" s="31" t="s">
        <v>1128</v>
      </c>
      <c r="C450" s="31" t="s">
        <v>393</v>
      </c>
      <c r="D450" s="31" t="s">
        <v>391</v>
      </c>
      <c r="E450" s="31" t="s">
        <v>729</v>
      </c>
      <c r="F450" s="32" t="s">
        <v>116</v>
      </c>
    </row>
    <row r="451" spans="1:6">
      <c r="A451" s="29">
        <v>20228</v>
      </c>
      <c r="B451" s="31" t="s">
        <v>1129</v>
      </c>
      <c r="C451" s="31" t="s">
        <v>393</v>
      </c>
      <c r="D451" s="31" t="s">
        <v>391</v>
      </c>
      <c r="E451" s="31" t="s">
        <v>729</v>
      </c>
      <c r="F451" s="32" t="s">
        <v>116</v>
      </c>
    </row>
    <row r="452" spans="1:6">
      <c r="A452" s="29">
        <v>20238</v>
      </c>
      <c r="B452" s="31" t="s">
        <v>1130</v>
      </c>
      <c r="C452" s="31" t="s">
        <v>393</v>
      </c>
      <c r="D452" s="31" t="s">
        <v>391</v>
      </c>
      <c r="E452" s="31" t="s">
        <v>729</v>
      </c>
      <c r="F452" s="32" t="s">
        <v>125</v>
      </c>
    </row>
    <row r="453" spans="1:6">
      <c r="A453" s="29">
        <v>20250</v>
      </c>
      <c r="B453" s="31" t="s">
        <v>1131</v>
      </c>
      <c r="C453" s="31" t="s">
        <v>393</v>
      </c>
      <c r="D453" s="31" t="s">
        <v>391</v>
      </c>
      <c r="E453" s="31" t="s">
        <v>729</v>
      </c>
      <c r="F453" s="32" t="s">
        <v>116</v>
      </c>
    </row>
    <row r="454" spans="1:6">
      <c r="A454" s="29">
        <v>20295</v>
      </c>
      <c r="B454" s="31" t="s">
        <v>1132</v>
      </c>
      <c r="C454" s="31" t="s">
        <v>393</v>
      </c>
      <c r="D454" s="31" t="s">
        <v>391</v>
      </c>
      <c r="E454" s="31" t="s">
        <v>729</v>
      </c>
      <c r="F454" s="32" t="s">
        <v>176</v>
      </c>
    </row>
    <row r="455" spans="1:6">
      <c r="A455" s="29">
        <v>20310</v>
      </c>
      <c r="B455" s="31" t="s">
        <v>1133</v>
      </c>
      <c r="C455" s="31" t="s">
        <v>393</v>
      </c>
      <c r="D455" s="31" t="s">
        <v>391</v>
      </c>
      <c r="E455" s="31" t="s">
        <v>729</v>
      </c>
      <c r="F455" s="32" t="s">
        <v>176</v>
      </c>
    </row>
    <row r="456" spans="1:6">
      <c r="A456" s="29">
        <v>20383</v>
      </c>
      <c r="B456" s="31" t="s">
        <v>1134</v>
      </c>
      <c r="C456" s="31" t="s">
        <v>393</v>
      </c>
      <c r="D456" s="31" t="s">
        <v>391</v>
      </c>
      <c r="E456" s="31" t="s">
        <v>729</v>
      </c>
      <c r="F456" s="32" t="s">
        <v>176</v>
      </c>
    </row>
    <row r="457" spans="1:6">
      <c r="A457" s="29">
        <v>20400</v>
      </c>
      <c r="B457" s="31" t="s">
        <v>1135</v>
      </c>
      <c r="C457" s="31" t="s">
        <v>393</v>
      </c>
      <c r="D457" s="31" t="s">
        <v>391</v>
      </c>
      <c r="E457" s="31" t="s">
        <v>729</v>
      </c>
      <c r="F457" s="32" t="s">
        <v>116</v>
      </c>
    </row>
    <row r="458" spans="1:6">
      <c r="A458" s="29">
        <v>20517</v>
      </c>
      <c r="B458" s="31" t="s">
        <v>1136</v>
      </c>
      <c r="C458" s="31" t="s">
        <v>393</v>
      </c>
      <c r="D458" s="31" t="s">
        <v>391</v>
      </c>
      <c r="E458" s="31" t="s">
        <v>729</v>
      </c>
      <c r="F458" s="32" t="s">
        <v>176</v>
      </c>
    </row>
    <row r="459" spans="1:6">
      <c r="A459" s="29">
        <v>20550</v>
      </c>
      <c r="B459" s="31" t="s">
        <v>1137</v>
      </c>
      <c r="C459" s="31" t="s">
        <v>393</v>
      </c>
      <c r="D459" s="31" t="s">
        <v>391</v>
      </c>
      <c r="E459" s="31" t="s">
        <v>729</v>
      </c>
      <c r="F459" s="32" t="s">
        <v>176</v>
      </c>
    </row>
    <row r="460" spans="1:6">
      <c r="A460" s="29">
        <v>20570</v>
      </c>
      <c r="B460" s="31" t="s">
        <v>1138</v>
      </c>
      <c r="C460" s="31" t="s">
        <v>393</v>
      </c>
      <c r="D460" s="31" t="s">
        <v>391</v>
      </c>
      <c r="E460" s="31" t="s">
        <v>729</v>
      </c>
      <c r="F460" s="32" t="s">
        <v>116</v>
      </c>
    </row>
    <row r="461" spans="1:6">
      <c r="A461" s="29">
        <v>20614</v>
      </c>
      <c r="B461" s="31" t="s">
        <v>1139</v>
      </c>
      <c r="C461" s="31" t="s">
        <v>393</v>
      </c>
      <c r="D461" s="31" t="s">
        <v>391</v>
      </c>
      <c r="E461" s="31" t="s">
        <v>729</v>
      </c>
      <c r="F461" s="32" t="s">
        <v>176</v>
      </c>
    </row>
    <row r="462" spans="1:6">
      <c r="A462" s="29">
        <v>20710</v>
      </c>
      <c r="B462" s="31" t="s">
        <v>1140</v>
      </c>
      <c r="C462" s="31" t="s">
        <v>393</v>
      </c>
      <c r="D462" s="31" t="s">
        <v>169</v>
      </c>
      <c r="E462" s="31" t="s">
        <v>729</v>
      </c>
      <c r="F462" s="32" t="s">
        <v>116</v>
      </c>
    </row>
    <row r="463" spans="1:6">
      <c r="A463" s="29">
        <v>20750</v>
      </c>
      <c r="B463" s="31" t="s">
        <v>1141</v>
      </c>
      <c r="C463" s="31" t="s">
        <v>393</v>
      </c>
      <c r="D463" s="31" t="s">
        <v>391</v>
      </c>
      <c r="E463" s="31" t="s">
        <v>729</v>
      </c>
      <c r="F463" s="32" t="s">
        <v>125</v>
      </c>
    </row>
    <row r="464" spans="1:6">
      <c r="A464" s="29">
        <v>20787</v>
      </c>
      <c r="B464" s="31" t="s">
        <v>394</v>
      </c>
      <c r="C464" s="31" t="s">
        <v>393</v>
      </c>
      <c r="D464" s="31" t="s">
        <v>391</v>
      </c>
      <c r="E464" s="31" t="s">
        <v>729</v>
      </c>
      <c r="F464" s="32" t="s">
        <v>176</v>
      </c>
    </row>
    <row r="465" spans="1:6">
      <c r="A465" s="29">
        <v>20001</v>
      </c>
      <c r="B465" s="31" t="s">
        <v>391</v>
      </c>
      <c r="C465" s="31" t="s">
        <v>393</v>
      </c>
      <c r="D465" s="31" t="s">
        <v>391</v>
      </c>
      <c r="E465" s="31" t="s">
        <v>729</v>
      </c>
      <c r="F465" s="32" t="s">
        <v>104</v>
      </c>
    </row>
    <row r="466" spans="1:6">
      <c r="A466" s="29">
        <v>27615</v>
      </c>
      <c r="B466" s="30" t="s">
        <v>82</v>
      </c>
      <c r="C466" s="31" t="s">
        <v>81</v>
      </c>
      <c r="D466" s="31" t="s">
        <v>78</v>
      </c>
      <c r="E466" s="31" t="s">
        <v>871</v>
      </c>
      <c r="F466" s="32" t="s">
        <v>93</v>
      </c>
    </row>
    <row r="467" spans="1:6">
      <c r="A467" s="29">
        <v>27006</v>
      </c>
      <c r="B467" s="31" t="s">
        <v>1142</v>
      </c>
      <c r="C467" s="31" t="s">
        <v>81</v>
      </c>
      <c r="D467" s="31" t="s">
        <v>78</v>
      </c>
      <c r="E467" s="31" t="s">
        <v>717</v>
      </c>
      <c r="F467" s="32" t="s">
        <v>93</v>
      </c>
    </row>
    <row r="468" spans="1:6">
      <c r="A468" s="29">
        <v>27025</v>
      </c>
      <c r="B468" s="31" t="s">
        <v>1143</v>
      </c>
      <c r="C468" s="31" t="s">
        <v>81</v>
      </c>
      <c r="D468" s="31" t="s">
        <v>127</v>
      </c>
      <c r="E468" s="31" t="s">
        <v>717</v>
      </c>
      <c r="F468" s="32" t="s">
        <v>93</v>
      </c>
    </row>
    <row r="469" spans="1:6">
      <c r="A469" s="29">
        <v>27050</v>
      </c>
      <c r="B469" s="31" t="s">
        <v>1144</v>
      </c>
      <c r="C469" s="31" t="s">
        <v>81</v>
      </c>
      <c r="D469" s="31" t="s">
        <v>78</v>
      </c>
      <c r="E469" s="31" t="s">
        <v>1065</v>
      </c>
      <c r="F469" s="32" t="s">
        <v>93</v>
      </c>
    </row>
    <row r="470" spans="1:6">
      <c r="A470" s="29">
        <v>27073</v>
      </c>
      <c r="B470" s="31" t="s">
        <v>1145</v>
      </c>
      <c r="C470" s="31" t="s">
        <v>81</v>
      </c>
      <c r="D470" s="31" t="s">
        <v>127</v>
      </c>
      <c r="E470" s="31" t="s">
        <v>717</v>
      </c>
      <c r="F470" s="32" t="s">
        <v>93</v>
      </c>
    </row>
    <row r="471" spans="1:6">
      <c r="A471" s="29">
        <v>27075</v>
      </c>
      <c r="B471" s="31" t="s">
        <v>1146</v>
      </c>
      <c r="C471" s="31" t="s">
        <v>81</v>
      </c>
      <c r="D471" s="31" t="s">
        <v>127</v>
      </c>
      <c r="E471" s="31" t="s">
        <v>717</v>
      </c>
      <c r="F471" s="32" t="s">
        <v>93</v>
      </c>
    </row>
    <row r="472" spans="1:6">
      <c r="A472" s="29">
        <v>27077</v>
      </c>
      <c r="B472" s="31" t="s">
        <v>487</v>
      </c>
      <c r="C472" s="31" t="s">
        <v>81</v>
      </c>
      <c r="D472" s="31" t="s">
        <v>78</v>
      </c>
      <c r="E472" s="31" t="s">
        <v>717</v>
      </c>
      <c r="F472" s="32" t="s">
        <v>93</v>
      </c>
    </row>
    <row r="473" spans="1:6">
      <c r="A473" s="29">
        <v>27086</v>
      </c>
      <c r="B473" s="31" t="s">
        <v>1147</v>
      </c>
      <c r="C473" s="31" t="s">
        <v>81</v>
      </c>
      <c r="D473" s="31" t="s">
        <v>78</v>
      </c>
      <c r="E473" s="31" t="s">
        <v>729</v>
      </c>
      <c r="F473" s="32" t="s">
        <v>176</v>
      </c>
    </row>
    <row r="474" spans="1:6">
      <c r="A474" s="29">
        <v>27099</v>
      </c>
      <c r="B474" s="31" t="s">
        <v>1148</v>
      </c>
      <c r="C474" s="31" t="s">
        <v>81</v>
      </c>
      <c r="D474" s="31" t="s">
        <v>127</v>
      </c>
      <c r="E474" s="31" t="s">
        <v>717</v>
      </c>
      <c r="F474" s="32" t="s">
        <v>93</v>
      </c>
    </row>
    <row r="475" spans="1:6">
      <c r="A475" s="29">
        <v>27150</v>
      </c>
      <c r="B475" s="31" t="s">
        <v>1149</v>
      </c>
      <c r="C475" s="31" t="s">
        <v>81</v>
      </c>
      <c r="D475" s="31" t="s">
        <v>78</v>
      </c>
      <c r="E475" s="31" t="s">
        <v>729</v>
      </c>
      <c r="F475" s="32" t="s">
        <v>176</v>
      </c>
    </row>
    <row r="476" spans="1:6">
      <c r="A476" s="29">
        <v>27160</v>
      </c>
      <c r="B476" s="31" t="s">
        <v>1150</v>
      </c>
      <c r="C476" s="31" t="s">
        <v>81</v>
      </c>
      <c r="D476" s="31" t="s">
        <v>78</v>
      </c>
      <c r="E476" s="31" t="s">
        <v>729</v>
      </c>
      <c r="F476" s="32" t="s">
        <v>176</v>
      </c>
    </row>
    <row r="477" spans="1:6">
      <c r="A477" s="29">
        <v>27205</v>
      </c>
      <c r="B477" s="31" t="s">
        <v>1151</v>
      </c>
      <c r="C477" s="31" t="s">
        <v>81</v>
      </c>
      <c r="D477" s="31" t="s">
        <v>127</v>
      </c>
      <c r="E477" s="31" t="s">
        <v>717</v>
      </c>
      <c r="F477" s="32" t="s">
        <v>93</v>
      </c>
    </row>
    <row r="478" spans="1:6">
      <c r="A478" s="29">
        <v>27135</v>
      </c>
      <c r="B478" s="31" t="s">
        <v>1152</v>
      </c>
      <c r="C478" s="31" t="s">
        <v>81</v>
      </c>
      <c r="D478" s="31" t="s">
        <v>78</v>
      </c>
      <c r="E478" s="31" t="s">
        <v>729</v>
      </c>
      <c r="F478" s="32" t="s">
        <v>176</v>
      </c>
    </row>
    <row r="479" spans="1:6">
      <c r="A479" s="29">
        <v>27245</v>
      </c>
      <c r="B479" s="31" t="s">
        <v>1153</v>
      </c>
      <c r="C479" s="31" t="s">
        <v>81</v>
      </c>
      <c r="D479" s="31" t="s">
        <v>127</v>
      </c>
      <c r="E479" s="31" t="s">
        <v>729</v>
      </c>
      <c r="F479" s="32" t="s">
        <v>176</v>
      </c>
    </row>
    <row r="480" spans="1:6">
      <c r="A480" s="29">
        <v>27250</v>
      </c>
      <c r="B480" s="31" t="s">
        <v>1154</v>
      </c>
      <c r="C480" s="31" t="s">
        <v>81</v>
      </c>
      <c r="D480" s="31" t="s">
        <v>95</v>
      </c>
      <c r="E480" s="31" t="s">
        <v>1155</v>
      </c>
      <c r="F480" s="32" t="s">
        <v>93</v>
      </c>
    </row>
    <row r="481" spans="1:6">
      <c r="A481" s="29">
        <v>27361</v>
      </c>
      <c r="B481" s="31" t="s">
        <v>1156</v>
      </c>
      <c r="C481" s="31" t="s">
        <v>81</v>
      </c>
      <c r="D481" s="31" t="s">
        <v>127</v>
      </c>
      <c r="E481" s="31" t="s">
        <v>717</v>
      </c>
      <c r="F481" s="32" t="s">
        <v>93</v>
      </c>
    </row>
    <row r="482" spans="1:6">
      <c r="A482" s="29">
        <v>27372</v>
      </c>
      <c r="B482" s="31" t="s">
        <v>1157</v>
      </c>
      <c r="C482" s="31" t="s">
        <v>81</v>
      </c>
      <c r="D482" s="31" t="s">
        <v>78</v>
      </c>
      <c r="E482" s="31" t="s">
        <v>799</v>
      </c>
      <c r="F482" s="32" t="s">
        <v>93</v>
      </c>
    </row>
    <row r="483" spans="1:6">
      <c r="A483" s="29">
        <v>27413</v>
      </c>
      <c r="B483" s="31" t="s">
        <v>1158</v>
      </c>
      <c r="C483" s="31" t="s">
        <v>81</v>
      </c>
      <c r="D483" s="31" t="s">
        <v>78</v>
      </c>
      <c r="E483" s="31" t="s">
        <v>729</v>
      </c>
      <c r="F483" s="32" t="s">
        <v>176</v>
      </c>
    </row>
    <row r="484" spans="1:6">
      <c r="A484" s="29">
        <v>27425</v>
      </c>
      <c r="B484" s="31" t="s">
        <v>1159</v>
      </c>
      <c r="C484" s="31" t="s">
        <v>81</v>
      </c>
      <c r="D484" s="31" t="s">
        <v>78</v>
      </c>
      <c r="E484" s="31" t="s">
        <v>729</v>
      </c>
      <c r="F484" s="32" t="s">
        <v>176</v>
      </c>
    </row>
    <row r="485" spans="1:6">
      <c r="A485" s="29">
        <v>27430</v>
      </c>
      <c r="B485" s="31" t="s">
        <v>1160</v>
      </c>
      <c r="C485" s="31" t="s">
        <v>81</v>
      </c>
      <c r="D485" s="31" t="s">
        <v>78</v>
      </c>
      <c r="E485" s="31" t="s">
        <v>729</v>
      </c>
      <c r="F485" s="32" t="s">
        <v>176</v>
      </c>
    </row>
    <row r="486" spans="1:6">
      <c r="A486" s="29">
        <v>27450</v>
      </c>
      <c r="B486" s="31" t="s">
        <v>1161</v>
      </c>
      <c r="C486" s="31" t="s">
        <v>81</v>
      </c>
      <c r="D486" s="31" t="s">
        <v>78</v>
      </c>
      <c r="E486" s="31" t="s">
        <v>729</v>
      </c>
      <c r="F486" s="32" t="s">
        <v>176</v>
      </c>
    </row>
    <row r="487" spans="1:6">
      <c r="A487" s="29">
        <v>27491</v>
      </c>
      <c r="B487" s="31" t="s">
        <v>1162</v>
      </c>
      <c r="C487" s="31" t="s">
        <v>81</v>
      </c>
      <c r="D487" s="31" t="s">
        <v>127</v>
      </c>
      <c r="E487" s="31" t="s">
        <v>717</v>
      </c>
      <c r="F487" s="32" t="s">
        <v>93</v>
      </c>
    </row>
    <row r="488" spans="1:6">
      <c r="A488" s="29">
        <v>27495</v>
      </c>
      <c r="B488" s="31" t="s">
        <v>1163</v>
      </c>
      <c r="C488" s="31" t="s">
        <v>81</v>
      </c>
      <c r="D488" s="31" t="s">
        <v>127</v>
      </c>
      <c r="E488" s="31" t="s">
        <v>717</v>
      </c>
      <c r="F488" s="32" t="s">
        <v>93</v>
      </c>
    </row>
    <row r="489" spans="1:6">
      <c r="A489" s="29">
        <v>27001</v>
      </c>
      <c r="B489" s="31" t="s">
        <v>1164</v>
      </c>
      <c r="C489" s="31" t="s">
        <v>81</v>
      </c>
      <c r="D489" s="31" t="s">
        <v>127</v>
      </c>
      <c r="E489" s="31" t="s">
        <v>717</v>
      </c>
      <c r="F489" s="32" t="s">
        <v>93</v>
      </c>
    </row>
    <row r="490" spans="1:6">
      <c r="A490" s="29">
        <v>27580</v>
      </c>
      <c r="B490" s="31" t="s">
        <v>1165</v>
      </c>
      <c r="C490" s="31" t="s">
        <v>81</v>
      </c>
      <c r="D490" s="31" t="s">
        <v>78</v>
      </c>
      <c r="E490" s="31" t="s">
        <v>729</v>
      </c>
      <c r="F490" s="32" t="s">
        <v>176</v>
      </c>
    </row>
    <row r="491" spans="1:6">
      <c r="A491" s="29">
        <v>27600</v>
      </c>
      <c r="B491" s="31" t="s">
        <v>1166</v>
      </c>
      <c r="C491" s="31" t="s">
        <v>81</v>
      </c>
      <c r="D491" s="31" t="s">
        <v>127</v>
      </c>
      <c r="E491" s="31" t="s">
        <v>717</v>
      </c>
      <c r="F491" s="32" t="s">
        <v>93</v>
      </c>
    </row>
    <row r="492" spans="1:6">
      <c r="A492" s="29">
        <v>27660</v>
      </c>
      <c r="B492" s="31" t="s">
        <v>1167</v>
      </c>
      <c r="C492" s="31" t="s">
        <v>81</v>
      </c>
      <c r="D492" s="31" t="s">
        <v>530</v>
      </c>
      <c r="E492" s="31" t="s">
        <v>729</v>
      </c>
      <c r="F492" s="32" t="s">
        <v>176</v>
      </c>
    </row>
    <row r="493" spans="1:6">
      <c r="A493" s="29">
        <v>27745</v>
      </c>
      <c r="B493" s="31" t="s">
        <v>1168</v>
      </c>
      <c r="C493" s="31" t="s">
        <v>81</v>
      </c>
      <c r="D493" s="31" t="s">
        <v>127</v>
      </c>
      <c r="E493" s="31" t="s">
        <v>717</v>
      </c>
      <c r="F493" s="32" t="s">
        <v>93</v>
      </c>
    </row>
    <row r="494" spans="1:6">
      <c r="A494" s="29">
        <v>27787</v>
      </c>
      <c r="B494" s="31" t="s">
        <v>1169</v>
      </c>
      <c r="C494" s="31" t="s">
        <v>81</v>
      </c>
      <c r="D494" s="31" t="s">
        <v>127</v>
      </c>
      <c r="E494" s="31" t="s">
        <v>717</v>
      </c>
      <c r="F494" s="32" t="s">
        <v>93</v>
      </c>
    </row>
    <row r="495" spans="1:6">
      <c r="A495" s="29">
        <v>27800</v>
      </c>
      <c r="B495" s="31" t="s">
        <v>1170</v>
      </c>
      <c r="C495" s="31" t="s">
        <v>81</v>
      </c>
      <c r="D495" s="31" t="s">
        <v>78</v>
      </c>
      <c r="E495" s="31" t="s">
        <v>799</v>
      </c>
      <c r="F495" s="32" t="s">
        <v>93</v>
      </c>
    </row>
    <row r="496" spans="1:6">
      <c r="A496" s="29">
        <v>27810</v>
      </c>
      <c r="B496" s="31" t="s">
        <v>480</v>
      </c>
      <c r="C496" s="31" t="s">
        <v>81</v>
      </c>
      <c r="D496" s="31" t="s">
        <v>78</v>
      </c>
      <c r="E496" s="31" t="s">
        <v>729</v>
      </c>
      <c r="F496" s="32" t="s">
        <v>176</v>
      </c>
    </row>
    <row r="497" spans="1:6">
      <c r="A497" s="29">
        <v>23079</v>
      </c>
      <c r="B497" s="30" t="s">
        <v>911</v>
      </c>
      <c r="C497" s="31" t="s">
        <v>340</v>
      </c>
      <c r="D497" s="31" t="s">
        <v>338</v>
      </c>
      <c r="E497" s="31" t="s">
        <v>729</v>
      </c>
      <c r="F497" s="32" t="s">
        <v>125</v>
      </c>
    </row>
    <row r="498" spans="1:6">
      <c r="A498" s="29">
        <v>23168</v>
      </c>
      <c r="B498" s="30" t="s">
        <v>1171</v>
      </c>
      <c r="C498" s="31" t="s">
        <v>340</v>
      </c>
      <c r="D498" s="31" t="s">
        <v>338</v>
      </c>
      <c r="E498" s="31" t="s">
        <v>729</v>
      </c>
      <c r="F498" s="32" t="s">
        <v>116</v>
      </c>
    </row>
    <row r="499" spans="1:6">
      <c r="A499" s="29">
        <v>23678</v>
      </c>
      <c r="B499" s="30" t="s">
        <v>742</v>
      </c>
      <c r="C499" s="31" t="s">
        <v>340</v>
      </c>
      <c r="D499" s="31" t="s">
        <v>338</v>
      </c>
      <c r="E499" s="31" t="s">
        <v>729</v>
      </c>
      <c r="F499" s="32" t="s">
        <v>125</v>
      </c>
    </row>
    <row r="500" spans="1:6">
      <c r="A500" s="29">
        <v>23068</v>
      </c>
      <c r="B500" s="31" t="s">
        <v>411</v>
      </c>
      <c r="C500" s="31" t="s">
        <v>340</v>
      </c>
      <c r="D500" s="31" t="s">
        <v>338</v>
      </c>
      <c r="E500" s="31" t="s">
        <v>729</v>
      </c>
      <c r="F500" s="32" t="s">
        <v>116</v>
      </c>
    </row>
    <row r="501" spans="1:6">
      <c r="A501" s="29">
        <v>23090</v>
      </c>
      <c r="B501" s="31" t="s">
        <v>1172</v>
      </c>
      <c r="C501" s="31" t="s">
        <v>340</v>
      </c>
      <c r="D501" s="31" t="s">
        <v>338</v>
      </c>
      <c r="E501" s="31" t="s">
        <v>729</v>
      </c>
      <c r="F501" s="32" t="s">
        <v>125</v>
      </c>
    </row>
    <row r="502" spans="1:6">
      <c r="A502" s="29">
        <v>23162</v>
      </c>
      <c r="B502" s="31" t="s">
        <v>1173</v>
      </c>
      <c r="C502" s="31" t="s">
        <v>340</v>
      </c>
      <c r="D502" s="31" t="s">
        <v>338</v>
      </c>
      <c r="E502" s="31" t="s">
        <v>729</v>
      </c>
      <c r="F502" s="32" t="s">
        <v>104</v>
      </c>
    </row>
    <row r="503" spans="1:6">
      <c r="A503" s="29">
        <v>23182</v>
      </c>
      <c r="B503" s="31" t="s">
        <v>1174</v>
      </c>
      <c r="C503" s="31" t="s">
        <v>340</v>
      </c>
      <c r="D503" s="31" t="s">
        <v>338</v>
      </c>
      <c r="E503" s="31" t="s">
        <v>729</v>
      </c>
      <c r="F503" s="32" t="s">
        <v>125</v>
      </c>
    </row>
    <row r="504" spans="1:6">
      <c r="A504" s="29">
        <v>23189</v>
      </c>
      <c r="B504" s="31" t="s">
        <v>1175</v>
      </c>
      <c r="C504" s="31" t="s">
        <v>340</v>
      </c>
      <c r="D504" s="31" t="s">
        <v>338</v>
      </c>
      <c r="E504" s="31" t="s">
        <v>729</v>
      </c>
      <c r="F504" s="32" t="s">
        <v>125</v>
      </c>
    </row>
    <row r="505" spans="1:6">
      <c r="A505" s="29">
        <v>23300</v>
      </c>
      <c r="B505" s="31" t="s">
        <v>1176</v>
      </c>
      <c r="C505" s="31" t="s">
        <v>340</v>
      </c>
      <c r="D505" s="31" t="s">
        <v>338</v>
      </c>
      <c r="E505" s="31" t="s">
        <v>729</v>
      </c>
      <c r="F505" s="32" t="s">
        <v>125</v>
      </c>
    </row>
    <row r="506" spans="1:6">
      <c r="A506" s="29">
        <v>23350</v>
      </c>
      <c r="B506" s="31" t="s">
        <v>1177</v>
      </c>
      <c r="C506" s="31" t="s">
        <v>340</v>
      </c>
      <c r="D506" s="31" t="s">
        <v>338</v>
      </c>
      <c r="E506" s="31" t="s">
        <v>729</v>
      </c>
      <c r="F506" s="32" t="s">
        <v>125</v>
      </c>
    </row>
    <row r="507" spans="1:6">
      <c r="A507" s="29">
        <v>23417</v>
      </c>
      <c r="B507" s="31" t="s">
        <v>1178</v>
      </c>
      <c r="C507" s="31" t="s">
        <v>340</v>
      </c>
      <c r="D507" s="31" t="s">
        <v>338</v>
      </c>
      <c r="E507" s="31" t="s">
        <v>729</v>
      </c>
      <c r="F507" s="32" t="s">
        <v>125</v>
      </c>
    </row>
    <row r="508" spans="1:6">
      <c r="A508" s="29">
        <v>23419</v>
      </c>
      <c r="B508" s="31" t="s">
        <v>1179</v>
      </c>
      <c r="C508" s="31" t="s">
        <v>340</v>
      </c>
      <c r="D508" s="31" t="s">
        <v>338</v>
      </c>
      <c r="E508" s="31" t="s">
        <v>729</v>
      </c>
      <c r="F508" s="32" t="s">
        <v>125</v>
      </c>
    </row>
    <row r="509" spans="1:6">
      <c r="A509" s="29">
        <v>23464</v>
      </c>
      <c r="B509" s="31" t="s">
        <v>1180</v>
      </c>
      <c r="C509" s="31" t="s">
        <v>340</v>
      </c>
      <c r="D509" s="31" t="s">
        <v>338</v>
      </c>
      <c r="E509" s="31" t="s">
        <v>729</v>
      </c>
      <c r="F509" s="32" t="s">
        <v>125</v>
      </c>
    </row>
    <row r="510" spans="1:6">
      <c r="A510" s="29">
        <v>23466</v>
      </c>
      <c r="B510" s="31" t="s">
        <v>1181</v>
      </c>
      <c r="C510" s="31" t="s">
        <v>340</v>
      </c>
      <c r="D510" s="31" t="s">
        <v>338</v>
      </c>
      <c r="E510" s="31" t="s">
        <v>729</v>
      </c>
      <c r="F510" s="32" t="s">
        <v>176</v>
      </c>
    </row>
    <row r="511" spans="1:6">
      <c r="A511" s="29">
        <v>23001</v>
      </c>
      <c r="B511" s="31" t="s">
        <v>338</v>
      </c>
      <c r="C511" s="31" t="s">
        <v>340</v>
      </c>
      <c r="D511" s="31" t="s">
        <v>338</v>
      </c>
      <c r="E511" s="31" t="s">
        <v>729</v>
      </c>
      <c r="F511" s="32" t="s">
        <v>104</v>
      </c>
    </row>
    <row r="512" spans="1:6">
      <c r="A512" s="29">
        <v>23500</v>
      </c>
      <c r="B512" s="31" t="s">
        <v>1182</v>
      </c>
      <c r="C512" s="31" t="s">
        <v>340</v>
      </c>
      <c r="D512" s="31" t="s">
        <v>338</v>
      </c>
      <c r="E512" s="31" t="s">
        <v>729</v>
      </c>
      <c r="F512" s="32" t="s">
        <v>116</v>
      </c>
    </row>
    <row r="513" spans="1:6">
      <c r="A513" s="29">
        <v>23555</v>
      </c>
      <c r="B513" s="31" t="s">
        <v>1183</v>
      </c>
      <c r="C513" s="31" t="s">
        <v>340</v>
      </c>
      <c r="D513" s="31" t="s">
        <v>338</v>
      </c>
      <c r="E513" s="31" t="s">
        <v>729</v>
      </c>
      <c r="F513" s="32" t="s">
        <v>125</v>
      </c>
    </row>
    <row r="514" spans="1:6">
      <c r="A514" s="29">
        <v>23570</v>
      </c>
      <c r="B514" s="31" t="s">
        <v>1184</v>
      </c>
      <c r="C514" s="31" t="s">
        <v>340</v>
      </c>
      <c r="D514" s="31" t="s">
        <v>338</v>
      </c>
      <c r="E514" s="31" t="s">
        <v>729</v>
      </c>
      <c r="F514" s="32" t="s">
        <v>125</v>
      </c>
    </row>
    <row r="515" spans="1:6">
      <c r="A515" s="29">
        <v>23574</v>
      </c>
      <c r="B515" s="31" t="s">
        <v>1185</v>
      </c>
      <c r="C515" s="31" t="s">
        <v>340</v>
      </c>
      <c r="D515" s="31" t="s">
        <v>338</v>
      </c>
      <c r="E515" s="31" t="s">
        <v>729</v>
      </c>
      <c r="F515" s="32" t="s">
        <v>116</v>
      </c>
    </row>
    <row r="516" spans="1:6">
      <c r="A516" s="29">
        <v>23580</v>
      </c>
      <c r="B516" s="31" t="s">
        <v>1186</v>
      </c>
      <c r="C516" s="31" t="s">
        <v>340</v>
      </c>
      <c r="D516" s="31" t="s">
        <v>338</v>
      </c>
      <c r="E516" s="31" t="s">
        <v>729</v>
      </c>
      <c r="F516" s="32" t="s">
        <v>176</v>
      </c>
    </row>
    <row r="517" spans="1:6">
      <c r="A517" s="29">
        <v>23586</v>
      </c>
      <c r="B517" s="31" t="s">
        <v>1187</v>
      </c>
      <c r="C517" s="31" t="s">
        <v>340</v>
      </c>
      <c r="D517" s="31" t="s">
        <v>338</v>
      </c>
      <c r="E517" s="31" t="s">
        <v>729</v>
      </c>
      <c r="F517" s="32" t="s">
        <v>125</v>
      </c>
    </row>
    <row r="518" spans="1:6">
      <c r="A518" s="29">
        <v>23660</v>
      </c>
      <c r="B518" s="31" t="s">
        <v>1188</v>
      </c>
      <c r="C518" s="31" t="s">
        <v>340</v>
      </c>
      <c r="D518" s="31" t="s">
        <v>338</v>
      </c>
      <c r="E518" s="31" t="s">
        <v>729</v>
      </c>
      <c r="F518" s="32" t="s">
        <v>125</v>
      </c>
    </row>
    <row r="519" spans="1:6">
      <c r="A519" s="29">
        <v>23670</v>
      </c>
      <c r="B519" s="31" t="s">
        <v>1189</v>
      </c>
      <c r="C519" s="31" t="s">
        <v>340</v>
      </c>
      <c r="D519" s="31" t="s">
        <v>338</v>
      </c>
      <c r="E519" s="31" t="s">
        <v>729</v>
      </c>
      <c r="F519" s="32" t="s">
        <v>125</v>
      </c>
    </row>
    <row r="520" spans="1:6">
      <c r="A520" s="29">
        <v>23672</v>
      </c>
      <c r="B520" s="31" t="s">
        <v>1190</v>
      </c>
      <c r="C520" s="31" t="s">
        <v>340</v>
      </c>
      <c r="D520" s="31" t="s">
        <v>338</v>
      </c>
      <c r="E520" s="31" t="s">
        <v>729</v>
      </c>
      <c r="F520" s="32" t="s">
        <v>125</v>
      </c>
    </row>
    <row r="521" spans="1:6">
      <c r="A521" s="29">
        <v>23675</v>
      </c>
      <c r="B521" s="31" t="s">
        <v>1191</v>
      </c>
      <c r="C521" s="31" t="s">
        <v>340</v>
      </c>
      <c r="D521" s="31" t="s">
        <v>338</v>
      </c>
      <c r="E521" s="31" t="s">
        <v>729</v>
      </c>
      <c r="F521" s="32" t="s">
        <v>125</v>
      </c>
    </row>
    <row r="522" spans="1:6">
      <c r="A522" s="29">
        <v>23686</v>
      </c>
      <c r="B522" s="31" t="s">
        <v>1192</v>
      </c>
      <c r="C522" s="31" t="s">
        <v>340</v>
      </c>
      <c r="D522" s="31" t="s">
        <v>338</v>
      </c>
      <c r="E522" s="31" t="s">
        <v>729</v>
      </c>
      <c r="F522" s="32" t="s">
        <v>125</v>
      </c>
    </row>
    <row r="523" spans="1:6">
      <c r="A523" s="29">
        <v>23807</v>
      </c>
      <c r="B523" s="31" t="s">
        <v>1193</v>
      </c>
      <c r="C523" s="31" t="s">
        <v>340</v>
      </c>
      <c r="D523" s="31" t="s">
        <v>338</v>
      </c>
      <c r="E523" s="31" t="s">
        <v>729</v>
      </c>
      <c r="F523" s="32" t="s">
        <v>116</v>
      </c>
    </row>
    <row r="524" spans="1:6">
      <c r="A524" s="29">
        <v>23855</v>
      </c>
      <c r="B524" s="31" t="s">
        <v>1194</v>
      </c>
      <c r="C524" s="31" t="s">
        <v>340</v>
      </c>
      <c r="D524" s="31" t="s">
        <v>338</v>
      </c>
      <c r="E524" s="31" t="s">
        <v>729</v>
      </c>
      <c r="F524" s="32" t="s">
        <v>116</v>
      </c>
    </row>
    <row r="525" spans="1:6">
      <c r="A525" s="29">
        <v>25019</v>
      </c>
      <c r="B525" s="30" t="s">
        <v>1195</v>
      </c>
      <c r="C525" s="31" t="s">
        <v>140</v>
      </c>
      <c r="D525" s="31" t="s">
        <v>138</v>
      </c>
      <c r="E525" s="31" t="s">
        <v>729</v>
      </c>
      <c r="F525" s="32" t="s">
        <v>125</v>
      </c>
    </row>
    <row r="526" spans="1:6">
      <c r="A526" s="29">
        <v>25120</v>
      </c>
      <c r="B526" s="30" t="s">
        <v>1196</v>
      </c>
      <c r="C526" s="31" t="s">
        <v>140</v>
      </c>
      <c r="D526" s="31" t="s">
        <v>138</v>
      </c>
      <c r="E526" s="31" t="s">
        <v>729</v>
      </c>
      <c r="F526" s="32" t="s">
        <v>116</v>
      </c>
    </row>
    <row r="527" spans="1:6">
      <c r="A527" s="29">
        <v>25258</v>
      </c>
      <c r="B527" s="30" t="s">
        <v>868</v>
      </c>
      <c r="C527" s="31" t="s">
        <v>140</v>
      </c>
      <c r="D527" s="31" t="s">
        <v>138</v>
      </c>
      <c r="E527" s="31" t="s">
        <v>729</v>
      </c>
      <c r="F527" s="32" t="s">
        <v>116</v>
      </c>
    </row>
    <row r="528" spans="1:6">
      <c r="A528" s="29">
        <v>25312</v>
      </c>
      <c r="B528" s="30" t="s">
        <v>736</v>
      </c>
      <c r="C528" s="31" t="s">
        <v>140</v>
      </c>
      <c r="D528" s="31" t="s">
        <v>138</v>
      </c>
      <c r="E528" s="31" t="s">
        <v>729</v>
      </c>
      <c r="F528" s="32" t="s">
        <v>125</v>
      </c>
    </row>
    <row r="529" spans="1:6">
      <c r="A529" s="29">
        <v>25402</v>
      </c>
      <c r="B529" s="30" t="s">
        <v>1086</v>
      </c>
      <c r="C529" s="31" t="s">
        <v>140</v>
      </c>
      <c r="D529" s="31" t="s">
        <v>138</v>
      </c>
      <c r="E529" s="31" t="s">
        <v>729</v>
      </c>
      <c r="F529" s="32" t="s">
        <v>125</v>
      </c>
    </row>
    <row r="530" spans="1:6">
      <c r="A530" s="29">
        <v>25473</v>
      </c>
      <c r="B530" s="30" t="s">
        <v>1197</v>
      </c>
      <c r="C530" s="31" t="s">
        <v>140</v>
      </c>
      <c r="D530" s="31" t="s">
        <v>138</v>
      </c>
      <c r="E530" s="31" t="s">
        <v>729</v>
      </c>
      <c r="F530" s="32" t="s">
        <v>104</v>
      </c>
    </row>
    <row r="531" spans="1:6">
      <c r="A531" s="29">
        <v>25483</v>
      </c>
      <c r="B531" s="30" t="s">
        <v>241</v>
      </c>
      <c r="C531" s="31" t="s">
        <v>140</v>
      </c>
      <c r="D531" s="31" t="s">
        <v>138</v>
      </c>
      <c r="E531" s="31" t="s">
        <v>729</v>
      </c>
      <c r="F531" s="32" t="s">
        <v>116</v>
      </c>
    </row>
    <row r="532" spans="1:6">
      <c r="A532" s="29">
        <v>25612</v>
      </c>
      <c r="B532" s="30" t="s">
        <v>1198</v>
      </c>
      <c r="C532" s="31" t="s">
        <v>140</v>
      </c>
      <c r="D532" s="31" t="s">
        <v>138</v>
      </c>
      <c r="E532" s="31" t="s">
        <v>729</v>
      </c>
      <c r="F532" s="32" t="s">
        <v>116</v>
      </c>
    </row>
    <row r="533" spans="1:6">
      <c r="A533" s="29">
        <v>25649</v>
      </c>
      <c r="B533" s="30" t="s">
        <v>1199</v>
      </c>
      <c r="C533" s="31" t="s">
        <v>140</v>
      </c>
      <c r="D533" s="31" t="s">
        <v>138</v>
      </c>
      <c r="E533" s="31" t="s">
        <v>729</v>
      </c>
      <c r="F533" s="32" t="s">
        <v>116</v>
      </c>
    </row>
    <row r="534" spans="1:6">
      <c r="A534" s="29">
        <v>25653</v>
      </c>
      <c r="B534" s="30" t="s">
        <v>1200</v>
      </c>
      <c r="C534" s="31" t="s">
        <v>140</v>
      </c>
      <c r="D534" s="31" t="s">
        <v>138</v>
      </c>
      <c r="E534" s="31" t="s">
        <v>729</v>
      </c>
      <c r="F534" s="32" t="s">
        <v>116</v>
      </c>
    </row>
    <row r="535" spans="1:6">
      <c r="A535" s="29">
        <v>25658</v>
      </c>
      <c r="B535" s="30" t="s">
        <v>743</v>
      </c>
      <c r="C535" s="31" t="s">
        <v>140</v>
      </c>
      <c r="D535" s="31" t="s">
        <v>138</v>
      </c>
      <c r="E535" s="31" t="s">
        <v>729</v>
      </c>
      <c r="F535" s="32" t="s">
        <v>125</v>
      </c>
    </row>
    <row r="536" spans="1:6">
      <c r="A536" s="29">
        <v>25506</v>
      </c>
      <c r="B536" s="30" t="s">
        <v>748</v>
      </c>
      <c r="C536" s="31" t="s">
        <v>140</v>
      </c>
      <c r="D536" s="31" t="s">
        <v>138</v>
      </c>
      <c r="E536" s="31" t="s">
        <v>729</v>
      </c>
      <c r="F536" s="32" t="s">
        <v>116</v>
      </c>
    </row>
    <row r="537" spans="1:6">
      <c r="A537" s="29">
        <v>25001</v>
      </c>
      <c r="B537" s="31" t="s">
        <v>1201</v>
      </c>
      <c r="C537" s="31" t="s">
        <v>140</v>
      </c>
      <c r="D537" s="31" t="s">
        <v>138</v>
      </c>
      <c r="E537" s="31" t="s">
        <v>729</v>
      </c>
      <c r="F537" s="32" t="s">
        <v>116</v>
      </c>
    </row>
    <row r="538" spans="1:6">
      <c r="A538" s="29">
        <v>25035</v>
      </c>
      <c r="B538" s="31" t="s">
        <v>1202</v>
      </c>
      <c r="C538" s="31" t="s">
        <v>140</v>
      </c>
      <c r="D538" s="31" t="s">
        <v>138</v>
      </c>
      <c r="E538" s="31" t="s">
        <v>729</v>
      </c>
      <c r="F538" s="32" t="s">
        <v>125</v>
      </c>
    </row>
    <row r="539" spans="1:6">
      <c r="A539" s="29">
        <v>25040</v>
      </c>
      <c r="B539" s="31" t="s">
        <v>1203</v>
      </c>
      <c r="C539" s="31" t="s">
        <v>140</v>
      </c>
      <c r="D539" s="31" t="s">
        <v>138</v>
      </c>
      <c r="E539" s="31" t="s">
        <v>729</v>
      </c>
      <c r="F539" s="32" t="s">
        <v>125</v>
      </c>
    </row>
    <row r="540" spans="1:6">
      <c r="A540" s="29">
        <v>25599</v>
      </c>
      <c r="B540" s="31" t="s">
        <v>1204</v>
      </c>
      <c r="C540" s="31" t="s">
        <v>140</v>
      </c>
      <c r="D540" s="31" t="s">
        <v>138</v>
      </c>
      <c r="E540" s="31" t="s">
        <v>729</v>
      </c>
      <c r="F540" s="32" t="s">
        <v>116</v>
      </c>
    </row>
    <row r="541" spans="1:6">
      <c r="A541" s="29">
        <v>25053</v>
      </c>
      <c r="B541" s="31" t="s">
        <v>1205</v>
      </c>
      <c r="C541" s="31" t="s">
        <v>140</v>
      </c>
      <c r="D541" s="31" t="s">
        <v>138</v>
      </c>
      <c r="E541" s="31" t="s">
        <v>729</v>
      </c>
      <c r="F541" s="32" t="s">
        <v>125</v>
      </c>
    </row>
    <row r="542" spans="1:6">
      <c r="A542" s="29">
        <v>25086</v>
      </c>
      <c r="B542" s="31" t="s">
        <v>1206</v>
      </c>
      <c r="C542" s="31" t="s">
        <v>140</v>
      </c>
      <c r="D542" s="31" t="s">
        <v>138</v>
      </c>
      <c r="E542" s="31" t="s">
        <v>729</v>
      </c>
      <c r="F542" s="32" t="s">
        <v>116</v>
      </c>
    </row>
    <row r="543" spans="1:6">
      <c r="A543" s="29">
        <v>25095</v>
      </c>
      <c r="B543" s="31" t="s">
        <v>1207</v>
      </c>
      <c r="C543" s="31" t="s">
        <v>140</v>
      </c>
      <c r="D543" s="31" t="s">
        <v>138</v>
      </c>
      <c r="E543" s="31" t="s">
        <v>729</v>
      </c>
      <c r="F543" s="32" t="s">
        <v>116</v>
      </c>
    </row>
    <row r="544" spans="1:6">
      <c r="A544" s="29">
        <v>11001</v>
      </c>
      <c r="B544" s="31" t="s">
        <v>138</v>
      </c>
      <c r="C544" s="31" t="s">
        <v>140</v>
      </c>
      <c r="D544" s="31" t="s">
        <v>138</v>
      </c>
      <c r="E544" s="31" t="s">
        <v>729</v>
      </c>
      <c r="F544" s="32" t="s">
        <v>104</v>
      </c>
    </row>
    <row r="545" spans="1:6">
      <c r="A545" s="29">
        <v>25099</v>
      </c>
      <c r="B545" s="31" t="s">
        <v>1208</v>
      </c>
      <c r="C545" s="31" t="s">
        <v>140</v>
      </c>
      <c r="D545" s="31" t="s">
        <v>138</v>
      </c>
      <c r="E545" s="31" t="s">
        <v>729</v>
      </c>
      <c r="F545" s="32" t="s">
        <v>125</v>
      </c>
    </row>
    <row r="546" spans="1:6">
      <c r="A546" s="29">
        <v>25123</v>
      </c>
      <c r="B546" s="31" t="s">
        <v>1209</v>
      </c>
      <c r="C546" s="31" t="s">
        <v>140</v>
      </c>
      <c r="D546" s="31" t="s">
        <v>138</v>
      </c>
      <c r="E546" s="31" t="s">
        <v>729</v>
      </c>
      <c r="F546" s="32" t="s">
        <v>125</v>
      </c>
    </row>
    <row r="547" spans="1:6">
      <c r="A547" s="29">
        <v>25126</v>
      </c>
      <c r="B547" s="31" t="s">
        <v>1210</v>
      </c>
      <c r="C547" s="31" t="s">
        <v>140</v>
      </c>
      <c r="D547" s="31" t="s">
        <v>138</v>
      </c>
      <c r="E547" s="31" t="s">
        <v>729</v>
      </c>
      <c r="F547" s="32" t="s">
        <v>125</v>
      </c>
    </row>
    <row r="548" spans="1:6">
      <c r="A548" s="29">
        <v>25148</v>
      </c>
      <c r="B548" s="31" t="s">
        <v>1211</v>
      </c>
      <c r="C548" s="31" t="s">
        <v>140</v>
      </c>
      <c r="D548" s="31" t="s">
        <v>138</v>
      </c>
      <c r="E548" s="31" t="s">
        <v>729</v>
      </c>
      <c r="F548" s="32" t="s">
        <v>116</v>
      </c>
    </row>
    <row r="549" spans="1:6">
      <c r="A549" s="29">
        <v>25151</v>
      </c>
      <c r="B549" s="31" t="s">
        <v>1212</v>
      </c>
      <c r="C549" s="31" t="s">
        <v>140</v>
      </c>
      <c r="D549" s="31" t="s">
        <v>138</v>
      </c>
      <c r="E549" s="31" t="s">
        <v>729</v>
      </c>
      <c r="F549" s="32" t="s">
        <v>125</v>
      </c>
    </row>
    <row r="550" spans="1:6">
      <c r="A550" s="29">
        <v>25154</v>
      </c>
      <c r="B550" s="31" t="s">
        <v>1213</v>
      </c>
      <c r="C550" s="31" t="s">
        <v>140</v>
      </c>
      <c r="D550" s="31" t="s">
        <v>138</v>
      </c>
      <c r="E550" s="31" t="s">
        <v>729</v>
      </c>
      <c r="F550" s="32" t="s">
        <v>116</v>
      </c>
    </row>
    <row r="551" spans="1:6">
      <c r="A551" s="29">
        <v>25168</v>
      </c>
      <c r="B551" s="31" t="s">
        <v>1214</v>
      </c>
      <c r="C551" s="31" t="s">
        <v>140</v>
      </c>
      <c r="D551" s="31" t="s">
        <v>138</v>
      </c>
      <c r="E551" s="31" t="s">
        <v>729</v>
      </c>
      <c r="F551" s="32" t="s">
        <v>116</v>
      </c>
    </row>
    <row r="552" spans="1:6">
      <c r="A552" s="29">
        <v>25175</v>
      </c>
      <c r="B552" s="31" t="s">
        <v>1215</v>
      </c>
      <c r="C552" s="31" t="s">
        <v>140</v>
      </c>
      <c r="D552" s="31" t="s">
        <v>138</v>
      </c>
      <c r="E552" s="31" t="s">
        <v>729</v>
      </c>
      <c r="F552" s="32" t="s">
        <v>125</v>
      </c>
    </row>
    <row r="553" spans="1:6">
      <c r="A553" s="29">
        <v>25178</v>
      </c>
      <c r="B553" s="31" t="s">
        <v>1216</v>
      </c>
      <c r="C553" s="31" t="s">
        <v>140</v>
      </c>
      <c r="D553" s="31" t="s">
        <v>138</v>
      </c>
      <c r="E553" s="31" t="s">
        <v>729</v>
      </c>
      <c r="F553" s="32" t="s">
        <v>125</v>
      </c>
    </row>
    <row r="554" spans="1:6">
      <c r="A554" s="29">
        <v>25181</v>
      </c>
      <c r="B554" s="31" t="s">
        <v>1217</v>
      </c>
      <c r="C554" s="31" t="s">
        <v>140</v>
      </c>
      <c r="D554" s="31" t="s">
        <v>138</v>
      </c>
      <c r="E554" s="31" t="s">
        <v>729</v>
      </c>
      <c r="F554" s="32" t="s">
        <v>125</v>
      </c>
    </row>
    <row r="555" spans="1:6">
      <c r="A555" s="29">
        <v>25183</v>
      </c>
      <c r="B555" s="31" t="s">
        <v>1218</v>
      </c>
      <c r="C555" s="31" t="s">
        <v>140</v>
      </c>
      <c r="D555" s="31" t="s">
        <v>152</v>
      </c>
      <c r="E555" s="31" t="s">
        <v>729</v>
      </c>
      <c r="F555" s="32" t="s">
        <v>125</v>
      </c>
    </row>
    <row r="556" spans="1:6">
      <c r="A556" s="29">
        <v>25200</v>
      </c>
      <c r="B556" s="31" t="s">
        <v>221</v>
      </c>
      <c r="C556" s="31" t="s">
        <v>140</v>
      </c>
      <c r="D556" s="31" t="s">
        <v>138</v>
      </c>
      <c r="E556" s="31" t="s">
        <v>729</v>
      </c>
      <c r="F556" s="32" t="s">
        <v>125</v>
      </c>
    </row>
    <row r="557" spans="1:6">
      <c r="A557" s="29">
        <v>25214</v>
      </c>
      <c r="B557" s="31" t="s">
        <v>1219</v>
      </c>
      <c r="C557" s="31" t="s">
        <v>140</v>
      </c>
      <c r="D557" s="31" t="s">
        <v>138</v>
      </c>
      <c r="E557" s="31" t="s">
        <v>729</v>
      </c>
      <c r="F557" s="32" t="s">
        <v>125</v>
      </c>
    </row>
    <row r="558" spans="1:6">
      <c r="A558" s="29">
        <v>25224</v>
      </c>
      <c r="B558" s="31" t="s">
        <v>1220</v>
      </c>
      <c r="C558" s="31" t="s">
        <v>140</v>
      </c>
      <c r="D558" s="31" t="s">
        <v>138</v>
      </c>
      <c r="E558" s="31" t="s">
        <v>729</v>
      </c>
      <c r="F558" s="32" t="s">
        <v>116</v>
      </c>
    </row>
    <row r="559" spans="1:6">
      <c r="A559" s="29">
        <v>25245</v>
      </c>
      <c r="B559" s="31" t="s">
        <v>1221</v>
      </c>
      <c r="C559" s="31" t="s">
        <v>140</v>
      </c>
      <c r="D559" s="31" t="s">
        <v>138</v>
      </c>
      <c r="E559" s="31" t="s">
        <v>729</v>
      </c>
      <c r="F559" s="32" t="s">
        <v>125</v>
      </c>
    </row>
    <row r="560" spans="1:6">
      <c r="A560" s="29">
        <v>25260</v>
      </c>
      <c r="B560" s="31" t="s">
        <v>1222</v>
      </c>
      <c r="C560" s="31" t="s">
        <v>140</v>
      </c>
      <c r="D560" s="31" t="s">
        <v>138</v>
      </c>
      <c r="E560" s="31" t="s">
        <v>729</v>
      </c>
      <c r="F560" s="32" t="s">
        <v>125</v>
      </c>
    </row>
    <row r="561" spans="1:6">
      <c r="A561" s="29">
        <v>25269</v>
      </c>
      <c r="B561" s="31" t="s">
        <v>1223</v>
      </c>
      <c r="C561" s="31" t="s">
        <v>140</v>
      </c>
      <c r="D561" s="31" t="s">
        <v>138</v>
      </c>
      <c r="E561" s="31" t="s">
        <v>729</v>
      </c>
      <c r="F561" s="32" t="s">
        <v>125</v>
      </c>
    </row>
    <row r="562" spans="1:6">
      <c r="A562" s="29">
        <v>25279</v>
      </c>
      <c r="B562" s="31" t="s">
        <v>1224</v>
      </c>
      <c r="C562" s="31" t="s">
        <v>140</v>
      </c>
      <c r="D562" s="31" t="s">
        <v>138</v>
      </c>
      <c r="E562" s="31" t="s">
        <v>729</v>
      </c>
      <c r="F562" s="32" t="s">
        <v>125</v>
      </c>
    </row>
    <row r="563" spans="1:6">
      <c r="A563" s="29">
        <v>25281</v>
      </c>
      <c r="B563" s="31" t="s">
        <v>1225</v>
      </c>
      <c r="C563" s="31" t="s">
        <v>140</v>
      </c>
      <c r="D563" s="31" t="s">
        <v>138</v>
      </c>
      <c r="E563" s="31" t="s">
        <v>729</v>
      </c>
      <c r="F563" s="32" t="s">
        <v>125</v>
      </c>
    </row>
    <row r="564" spans="1:6">
      <c r="A564" s="29">
        <v>25286</v>
      </c>
      <c r="B564" s="31" t="s">
        <v>1226</v>
      </c>
      <c r="C564" s="31" t="s">
        <v>140</v>
      </c>
      <c r="D564" s="31" t="s">
        <v>138</v>
      </c>
      <c r="E564" s="31" t="s">
        <v>729</v>
      </c>
      <c r="F564" s="32" t="s">
        <v>125</v>
      </c>
    </row>
    <row r="565" spans="1:6">
      <c r="A565" s="29">
        <v>25288</v>
      </c>
      <c r="B565" s="31" t="s">
        <v>1227</v>
      </c>
      <c r="C565" s="31" t="s">
        <v>140</v>
      </c>
      <c r="D565" s="31" t="s">
        <v>138</v>
      </c>
      <c r="E565" s="31" t="s">
        <v>729</v>
      </c>
      <c r="F565" s="32" t="s">
        <v>116</v>
      </c>
    </row>
    <row r="566" spans="1:6">
      <c r="A566" s="29">
        <v>25290</v>
      </c>
      <c r="B566" s="31" t="s">
        <v>1228</v>
      </c>
      <c r="C566" s="31" t="s">
        <v>140</v>
      </c>
      <c r="D566" s="31" t="s">
        <v>138</v>
      </c>
      <c r="E566" s="31" t="s">
        <v>729</v>
      </c>
      <c r="F566" s="32" t="s">
        <v>125</v>
      </c>
    </row>
    <row r="567" spans="1:6">
      <c r="A567" s="29">
        <v>25293</v>
      </c>
      <c r="B567" s="31" t="s">
        <v>1229</v>
      </c>
      <c r="C567" s="31" t="s">
        <v>140</v>
      </c>
      <c r="D567" s="31" t="s">
        <v>138</v>
      </c>
      <c r="E567" s="31" t="s">
        <v>729</v>
      </c>
      <c r="F567" s="32" t="s">
        <v>116</v>
      </c>
    </row>
    <row r="568" spans="1:6">
      <c r="A568" s="29">
        <v>25295</v>
      </c>
      <c r="B568" s="31" t="s">
        <v>1230</v>
      </c>
      <c r="C568" s="31" t="s">
        <v>140</v>
      </c>
      <c r="D568" s="31" t="s">
        <v>138</v>
      </c>
      <c r="E568" s="31" t="s">
        <v>729</v>
      </c>
      <c r="F568" s="32" t="s">
        <v>125</v>
      </c>
    </row>
    <row r="569" spans="1:6">
      <c r="A569" s="29">
        <v>25297</v>
      </c>
      <c r="B569" s="31" t="s">
        <v>1231</v>
      </c>
      <c r="C569" s="31" t="s">
        <v>140</v>
      </c>
      <c r="D569" s="31" t="s">
        <v>138</v>
      </c>
      <c r="E569" s="31" t="s">
        <v>729</v>
      </c>
      <c r="F569" s="32" t="s">
        <v>116</v>
      </c>
    </row>
    <row r="570" spans="1:6">
      <c r="A570" s="29">
        <v>25299</v>
      </c>
      <c r="B570" s="31" t="s">
        <v>1232</v>
      </c>
      <c r="C570" s="31" t="s">
        <v>140</v>
      </c>
      <c r="D570" s="31" t="s">
        <v>138</v>
      </c>
      <c r="E570" s="31" t="s">
        <v>729</v>
      </c>
      <c r="F570" s="32" t="s">
        <v>116</v>
      </c>
    </row>
    <row r="571" spans="1:6">
      <c r="A571" s="29">
        <v>25307</v>
      </c>
      <c r="B571" s="31" t="s">
        <v>1233</v>
      </c>
      <c r="C571" s="31" t="s">
        <v>140</v>
      </c>
      <c r="D571" s="31" t="s">
        <v>138</v>
      </c>
      <c r="E571" s="31" t="s">
        <v>729</v>
      </c>
      <c r="F571" s="32" t="s">
        <v>116</v>
      </c>
    </row>
    <row r="572" spans="1:6">
      <c r="A572" s="29">
        <v>25317</v>
      </c>
      <c r="B572" s="31" t="s">
        <v>1234</v>
      </c>
      <c r="C572" s="31" t="s">
        <v>140</v>
      </c>
      <c r="D572" s="31" t="s">
        <v>138</v>
      </c>
      <c r="E572" s="31" t="s">
        <v>729</v>
      </c>
      <c r="F572" s="32" t="s">
        <v>116</v>
      </c>
    </row>
    <row r="573" spans="1:6">
      <c r="A573" s="29">
        <v>25320</v>
      </c>
      <c r="B573" s="31" t="s">
        <v>1235</v>
      </c>
      <c r="C573" s="31" t="s">
        <v>140</v>
      </c>
      <c r="D573" s="31" t="s">
        <v>138</v>
      </c>
      <c r="E573" s="31" t="s">
        <v>729</v>
      </c>
      <c r="F573" s="32" t="s">
        <v>116</v>
      </c>
    </row>
    <row r="574" spans="1:6">
      <c r="A574" s="29">
        <v>25322</v>
      </c>
      <c r="B574" s="31" t="s">
        <v>1236</v>
      </c>
      <c r="C574" s="31" t="s">
        <v>140</v>
      </c>
      <c r="D574" s="31" t="s">
        <v>138</v>
      </c>
      <c r="E574" s="31" t="s">
        <v>729</v>
      </c>
      <c r="F574" s="32" t="s">
        <v>125</v>
      </c>
    </row>
    <row r="575" spans="1:6">
      <c r="A575" s="29">
        <v>25324</v>
      </c>
      <c r="B575" s="31" t="s">
        <v>1237</v>
      </c>
      <c r="C575" s="31" t="s">
        <v>140</v>
      </c>
      <c r="D575" s="31" t="s">
        <v>118</v>
      </c>
      <c r="E575" s="31" t="s">
        <v>729</v>
      </c>
      <c r="F575" s="32" t="s">
        <v>116</v>
      </c>
    </row>
    <row r="576" spans="1:6">
      <c r="A576" s="29">
        <v>25326</v>
      </c>
      <c r="B576" s="31" t="s">
        <v>1238</v>
      </c>
      <c r="C576" s="31" t="s">
        <v>140</v>
      </c>
      <c r="D576" s="31" t="s">
        <v>138</v>
      </c>
      <c r="E576" s="31" t="s">
        <v>729</v>
      </c>
      <c r="F576" s="32" t="s">
        <v>125</v>
      </c>
    </row>
    <row r="577" spans="1:6">
      <c r="A577" s="29">
        <v>25328</v>
      </c>
      <c r="B577" s="31" t="s">
        <v>1239</v>
      </c>
      <c r="C577" s="31" t="s">
        <v>140</v>
      </c>
      <c r="D577" s="31" t="s">
        <v>138</v>
      </c>
      <c r="E577" s="31" t="s">
        <v>729</v>
      </c>
      <c r="F577" s="32" t="s">
        <v>116</v>
      </c>
    </row>
    <row r="578" spans="1:6">
      <c r="A578" s="29">
        <v>25335</v>
      </c>
      <c r="B578" s="31" t="s">
        <v>1240</v>
      </c>
      <c r="C578" s="31" t="s">
        <v>140</v>
      </c>
      <c r="D578" s="31" t="s">
        <v>106</v>
      </c>
      <c r="E578" s="31" t="s">
        <v>729</v>
      </c>
      <c r="F578" s="32" t="s">
        <v>125</v>
      </c>
    </row>
    <row r="579" spans="1:6">
      <c r="A579" s="29">
        <v>25339</v>
      </c>
      <c r="B579" s="31" t="s">
        <v>1241</v>
      </c>
      <c r="C579" s="31" t="s">
        <v>140</v>
      </c>
      <c r="D579" s="31" t="s">
        <v>138</v>
      </c>
      <c r="E579" s="31" t="s">
        <v>729</v>
      </c>
      <c r="F579" s="32" t="s">
        <v>116</v>
      </c>
    </row>
    <row r="580" spans="1:6">
      <c r="A580" s="29">
        <v>25368</v>
      </c>
      <c r="B580" s="31" t="s">
        <v>1242</v>
      </c>
      <c r="C580" s="31" t="s">
        <v>140</v>
      </c>
      <c r="D580" s="31" t="s">
        <v>138</v>
      </c>
      <c r="E580" s="31" t="s">
        <v>729</v>
      </c>
      <c r="F580" s="32" t="s">
        <v>116</v>
      </c>
    </row>
    <row r="581" spans="1:6">
      <c r="A581" s="29">
        <v>25372</v>
      </c>
      <c r="B581" s="31" t="s">
        <v>1243</v>
      </c>
      <c r="C581" s="31" t="s">
        <v>140</v>
      </c>
      <c r="D581" s="31" t="s">
        <v>138</v>
      </c>
      <c r="E581" s="31" t="s">
        <v>729</v>
      </c>
      <c r="F581" s="32" t="s">
        <v>116</v>
      </c>
    </row>
    <row r="582" spans="1:6">
      <c r="A582" s="29">
        <v>25377</v>
      </c>
      <c r="B582" s="31" t="s">
        <v>1244</v>
      </c>
      <c r="C582" s="31" t="s">
        <v>140</v>
      </c>
      <c r="D582" s="31" t="s">
        <v>138</v>
      </c>
      <c r="E582" s="31" t="s">
        <v>729</v>
      </c>
      <c r="F582" s="32" t="s">
        <v>125</v>
      </c>
    </row>
    <row r="583" spans="1:6">
      <c r="A583" s="29">
        <v>25386</v>
      </c>
      <c r="B583" s="31" t="s">
        <v>1245</v>
      </c>
      <c r="C583" s="31" t="s">
        <v>140</v>
      </c>
      <c r="D583" s="31" t="s">
        <v>138</v>
      </c>
      <c r="E583" s="31" t="s">
        <v>729</v>
      </c>
      <c r="F583" s="32" t="s">
        <v>125</v>
      </c>
    </row>
    <row r="584" spans="1:6">
      <c r="A584" s="29">
        <v>25394</v>
      </c>
      <c r="B584" s="31" t="s">
        <v>1246</v>
      </c>
      <c r="C584" s="31" t="s">
        <v>140</v>
      </c>
      <c r="D584" s="31" t="s">
        <v>138</v>
      </c>
      <c r="E584" s="31" t="s">
        <v>729</v>
      </c>
      <c r="F584" s="32" t="s">
        <v>116</v>
      </c>
    </row>
    <row r="585" spans="1:6">
      <c r="A585" s="29">
        <v>25398</v>
      </c>
      <c r="B585" s="31" t="s">
        <v>665</v>
      </c>
      <c r="C585" s="31" t="s">
        <v>140</v>
      </c>
      <c r="D585" s="31" t="s">
        <v>138</v>
      </c>
      <c r="E585" s="31" t="s">
        <v>729</v>
      </c>
      <c r="F585" s="32" t="s">
        <v>116</v>
      </c>
    </row>
    <row r="586" spans="1:6">
      <c r="A586" s="29">
        <v>25407</v>
      </c>
      <c r="B586" s="31" t="s">
        <v>1247</v>
      </c>
      <c r="C586" s="31" t="s">
        <v>140</v>
      </c>
      <c r="D586" s="31" t="s">
        <v>138</v>
      </c>
      <c r="E586" s="31" t="s">
        <v>729</v>
      </c>
      <c r="F586" s="32" t="s">
        <v>116</v>
      </c>
    </row>
    <row r="587" spans="1:6">
      <c r="A587" s="29">
        <v>25426</v>
      </c>
      <c r="B587" s="31" t="s">
        <v>1248</v>
      </c>
      <c r="C587" s="31" t="s">
        <v>140</v>
      </c>
      <c r="D587" s="31" t="s">
        <v>138</v>
      </c>
      <c r="E587" s="31" t="s">
        <v>729</v>
      </c>
      <c r="F587" s="32" t="s">
        <v>116</v>
      </c>
    </row>
    <row r="588" spans="1:6">
      <c r="A588" s="29">
        <v>25430</v>
      </c>
      <c r="B588" s="31" t="s">
        <v>1249</v>
      </c>
      <c r="C588" s="31" t="s">
        <v>140</v>
      </c>
      <c r="D588" s="31" t="s">
        <v>138</v>
      </c>
      <c r="E588" s="31" t="s">
        <v>729</v>
      </c>
      <c r="F588" s="32" t="s">
        <v>125</v>
      </c>
    </row>
    <row r="589" spans="1:6">
      <c r="A589" s="29">
        <v>25436</v>
      </c>
      <c r="B589" s="31" t="s">
        <v>1250</v>
      </c>
      <c r="C589" s="31" t="s">
        <v>140</v>
      </c>
      <c r="D589" s="31" t="s">
        <v>138</v>
      </c>
      <c r="E589" s="31" t="s">
        <v>729</v>
      </c>
      <c r="F589" s="32" t="s">
        <v>116</v>
      </c>
    </row>
    <row r="590" spans="1:6">
      <c r="A590" s="29">
        <v>25438</v>
      </c>
      <c r="B590" s="31" t="s">
        <v>1251</v>
      </c>
      <c r="C590" s="31" t="s">
        <v>140</v>
      </c>
      <c r="D590" s="31" t="s">
        <v>106</v>
      </c>
      <c r="E590" s="31" t="s">
        <v>729</v>
      </c>
      <c r="F590" s="32" t="s">
        <v>176</v>
      </c>
    </row>
    <row r="591" spans="1:6">
      <c r="A591" s="29">
        <v>25486</v>
      </c>
      <c r="B591" s="31" t="s">
        <v>1252</v>
      </c>
      <c r="C591" s="31" t="s">
        <v>140</v>
      </c>
      <c r="D591" s="31" t="s">
        <v>138</v>
      </c>
      <c r="E591" s="31" t="s">
        <v>729</v>
      </c>
      <c r="F591" s="32" t="s">
        <v>125</v>
      </c>
    </row>
    <row r="592" spans="1:6">
      <c r="A592" s="29">
        <v>25488</v>
      </c>
      <c r="B592" s="31" t="s">
        <v>1253</v>
      </c>
      <c r="C592" s="31" t="s">
        <v>140</v>
      </c>
      <c r="D592" s="31" t="s">
        <v>138</v>
      </c>
      <c r="E592" s="31" t="s">
        <v>729</v>
      </c>
      <c r="F592" s="32" t="s">
        <v>116</v>
      </c>
    </row>
    <row r="593" spans="1:6">
      <c r="A593" s="29">
        <v>25489</v>
      </c>
      <c r="B593" s="31" t="s">
        <v>1254</v>
      </c>
      <c r="C593" s="31" t="s">
        <v>140</v>
      </c>
      <c r="D593" s="31" t="s">
        <v>138</v>
      </c>
      <c r="E593" s="31" t="s">
        <v>729</v>
      </c>
      <c r="F593" s="32" t="s">
        <v>116</v>
      </c>
    </row>
    <row r="594" spans="1:6">
      <c r="A594" s="29">
        <v>25491</v>
      </c>
      <c r="B594" s="31" t="s">
        <v>1255</v>
      </c>
      <c r="C594" s="31" t="s">
        <v>140</v>
      </c>
      <c r="D594" s="31" t="s">
        <v>138</v>
      </c>
      <c r="E594" s="31" t="s">
        <v>729</v>
      </c>
      <c r="F594" s="32" t="s">
        <v>116</v>
      </c>
    </row>
    <row r="595" spans="1:6">
      <c r="A595" s="29">
        <v>25513</v>
      </c>
      <c r="B595" s="31" t="s">
        <v>1256</v>
      </c>
      <c r="C595" s="31" t="s">
        <v>140</v>
      </c>
      <c r="D595" s="31" t="s">
        <v>138</v>
      </c>
      <c r="E595" s="31" t="s">
        <v>729</v>
      </c>
      <c r="F595" s="32" t="s">
        <v>116</v>
      </c>
    </row>
    <row r="596" spans="1:6">
      <c r="A596" s="29">
        <v>25518</v>
      </c>
      <c r="B596" s="31" t="s">
        <v>1257</v>
      </c>
      <c r="C596" s="31" t="s">
        <v>140</v>
      </c>
      <c r="D596" s="31" t="s">
        <v>138</v>
      </c>
      <c r="E596" s="31" t="s">
        <v>729</v>
      </c>
      <c r="F596" s="32" t="s">
        <v>176</v>
      </c>
    </row>
    <row r="597" spans="1:6">
      <c r="A597" s="29">
        <v>25524</v>
      </c>
      <c r="B597" s="31" t="s">
        <v>1258</v>
      </c>
      <c r="C597" s="31" t="s">
        <v>140</v>
      </c>
      <c r="D597" s="31" t="s">
        <v>138</v>
      </c>
      <c r="E597" s="31" t="s">
        <v>729</v>
      </c>
      <c r="F597" s="32" t="s">
        <v>116</v>
      </c>
    </row>
    <row r="598" spans="1:6">
      <c r="A598" s="29">
        <v>25530</v>
      </c>
      <c r="B598" s="31" t="s">
        <v>1259</v>
      </c>
      <c r="C598" s="31" t="s">
        <v>140</v>
      </c>
      <c r="D598" s="31" t="s">
        <v>106</v>
      </c>
      <c r="E598" s="31" t="s">
        <v>729</v>
      </c>
      <c r="F598" s="32" t="s">
        <v>116</v>
      </c>
    </row>
    <row r="599" spans="1:6">
      <c r="A599" s="29">
        <v>25535</v>
      </c>
      <c r="B599" s="31" t="s">
        <v>1260</v>
      </c>
      <c r="C599" s="31" t="s">
        <v>140</v>
      </c>
      <c r="D599" s="31" t="s">
        <v>138</v>
      </c>
      <c r="E599" s="31" t="s">
        <v>729</v>
      </c>
      <c r="F599" s="32" t="s">
        <v>125</v>
      </c>
    </row>
    <row r="600" spans="1:6">
      <c r="A600" s="29">
        <v>25572</v>
      </c>
      <c r="B600" s="31" t="s">
        <v>1261</v>
      </c>
      <c r="C600" s="31" t="s">
        <v>140</v>
      </c>
      <c r="D600" s="31" t="s">
        <v>138</v>
      </c>
      <c r="E600" s="31" t="s">
        <v>729</v>
      </c>
      <c r="F600" s="32" t="s">
        <v>176</v>
      </c>
    </row>
    <row r="601" spans="1:6">
      <c r="A601" s="29">
        <v>25580</v>
      </c>
      <c r="B601" s="31" t="s">
        <v>1262</v>
      </c>
      <c r="C601" s="31" t="s">
        <v>140</v>
      </c>
      <c r="D601" s="31" t="s">
        <v>138</v>
      </c>
      <c r="E601" s="31" t="s">
        <v>729</v>
      </c>
      <c r="F601" s="32" t="s">
        <v>116</v>
      </c>
    </row>
    <row r="602" spans="1:6">
      <c r="A602" s="29">
        <v>25592</v>
      </c>
      <c r="B602" s="31" t="s">
        <v>1263</v>
      </c>
      <c r="C602" s="31" t="s">
        <v>140</v>
      </c>
      <c r="D602" s="31" t="s">
        <v>138</v>
      </c>
      <c r="E602" s="31" t="s">
        <v>729</v>
      </c>
      <c r="F602" s="32" t="s">
        <v>116</v>
      </c>
    </row>
    <row r="603" spans="1:6">
      <c r="A603" s="29">
        <v>25594</v>
      </c>
      <c r="B603" s="31" t="s">
        <v>1264</v>
      </c>
      <c r="C603" s="31" t="s">
        <v>140</v>
      </c>
      <c r="D603" s="31" t="s">
        <v>138</v>
      </c>
      <c r="E603" s="31" t="s">
        <v>729</v>
      </c>
      <c r="F603" s="32" t="s">
        <v>116</v>
      </c>
    </row>
    <row r="604" spans="1:6">
      <c r="A604" s="29">
        <v>25596</v>
      </c>
      <c r="B604" s="31" t="s">
        <v>1265</v>
      </c>
      <c r="C604" s="31" t="s">
        <v>140</v>
      </c>
      <c r="D604" s="31" t="s">
        <v>138</v>
      </c>
      <c r="E604" s="31" t="s">
        <v>729</v>
      </c>
      <c r="F604" s="32" t="s">
        <v>116</v>
      </c>
    </row>
    <row r="605" spans="1:6">
      <c r="A605" s="29">
        <v>25645</v>
      </c>
      <c r="B605" s="31" t="s">
        <v>1266</v>
      </c>
      <c r="C605" s="31" t="s">
        <v>140</v>
      </c>
      <c r="D605" s="31" t="s">
        <v>138</v>
      </c>
      <c r="E605" s="31" t="s">
        <v>729</v>
      </c>
      <c r="F605" s="32" t="s">
        <v>125</v>
      </c>
    </row>
    <row r="606" spans="1:6">
      <c r="A606" s="29">
        <v>25662</v>
      </c>
      <c r="B606" s="31" t="s">
        <v>1267</v>
      </c>
      <c r="C606" s="31" t="s">
        <v>140</v>
      </c>
      <c r="D606" s="31" t="s">
        <v>138</v>
      </c>
      <c r="E606" s="31" t="s">
        <v>729</v>
      </c>
      <c r="F606" s="32" t="s">
        <v>116</v>
      </c>
    </row>
    <row r="607" spans="1:6">
      <c r="A607" s="29">
        <v>25718</v>
      </c>
      <c r="B607" s="31" t="s">
        <v>1268</v>
      </c>
      <c r="C607" s="31" t="s">
        <v>140</v>
      </c>
      <c r="D607" s="31" t="s">
        <v>138</v>
      </c>
      <c r="E607" s="31" t="s">
        <v>729</v>
      </c>
      <c r="F607" s="32" t="s">
        <v>125</v>
      </c>
    </row>
    <row r="608" spans="1:6">
      <c r="A608" s="29">
        <v>25736</v>
      </c>
      <c r="B608" s="31" t="s">
        <v>1269</v>
      </c>
      <c r="C608" s="31" t="s">
        <v>140</v>
      </c>
      <c r="D608" s="31" t="s">
        <v>138</v>
      </c>
      <c r="E608" s="31" t="s">
        <v>729</v>
      </c>
      <c r="F608" s="32" t="s">
        <v>125</v>
      </c>
    </row>
    <row r="609" spans="1:6">
      <c r="A609" s="29">
        <v>25740</v>
      </c>
      <c r="B609" s="31" t="s">
        <v>508</v>
      </c>
      <c r="C609" s="31" t="s">
        <v>140</v>
      </c>
      <c r="D609" s="31" t="s">
        <v>138</v>
      </c>
      <c r="E609" s="31" t="s">
        <v>729</v>
      </c>
      <c r="F609" s="32" t="s">
        <v>125</v>
      </c>
    </row>
    <row r="610" spans="1:6">
      <c r="A610" s="29">
        <v>25743</v>
      </c>
      <c r="B610" s="31" t="s">
        <v>1270</v>
      </c>
      <c r="C610" s="31" t="s">
        <v>140</v>
      </c>
      <c r="D610" s="31" t="s">
        <v>138</v>
      </c>
      <c r="E610" s="31" t="s">
        <v>729</v>
      </c>
      <c r="F610" s="32" t="s">
        <v>125</v>
      </c>
    </row>
    <row r="611" spans="1:6">
      <c r="A611" s="29">
        <v>25745</v>
      </c>
      <c r="B611" s="31" t="s">
        <v>1271</v>
      </c>
      <c r="C611" s="31" t="s">
        <v>140</v>
      </c>
      <c r="D611" s="31" t="s">
        <v>152</v>
      </c>
      <c r="E611" s="31" t="s">
        <v>729</v>
      </c>
      <c r="F611" s="32" t="s">
        <v>116</v>
      </c>
    </row>
    <row r="612" spans="1:6">
      <c r="A612" s="29">
        <v>25754</v>
      </c>
      <c r="B612" s="31" t="s">
        <v>1272</v>
      </c>
      <c r="C612" s="31" t="s">
        <v>140</v>
      </c>
      <c r="D612" s="31" t="s">
        <v>138</v>
      </c>
      <c r="E612" s="31" t="s">
        <v>729</v>
      </c>
      <c r="F612" s="32" t="s">
        <v>104</v>
      </c>
    </row>
    <row r="613" spans="1:6">
      <c r="A613" s="29">
        <v>25758</v>
      </c>
      <c r="B613" s="31" t="s">
        <v>1273</v>
      </c>
      <c r="C613" s="31" t="s">
        <v>140</v>
      </c>
      <c r="D613" s="31" t="s">
        <v>138</v>
      </c>
      <c r="E613" s="31" t="s">
        <v>729</v>
      </c>
      <c r="F613" s="32" t="s">
        <v>125</v>
      </c>
    </row>
    <row r="614" spans="1:6">
      <c r="A614" s="29">
        <v>25769</v>
      </c>
      <c r="B614" s="31" t="s">
        <v>1274</v>
      </c>
      <c r="C614" s="31" t="s">
        <v>140</v>
      </c>
      <c r="D614" s="31" t="s">
        <v>138</v>
      </c>
      <c r="E614" s="31" t="s">
        <v>729</v>
      </c>
      <c r="F614" s="32" t="s">
        <v>125</v>
      </c>
    </row>
    <row r="615" spans="1:6">
      <c r="A615" s="29">
        <v>25772</v>
      </c>
      <c r="B615" s="31" t="s">
        <v>1275</v>
      </c>
      <c r="C615" s="31" t="s">
        <v>140</v>
      </c>
      <c r="D615" s="31" t="s">
        <v>138</v>
      </c>
      <c r="E615" s="31" t="s">
        <v>729</v>
      </c>
      <c r="F615" s="32" t="s">
        <v>125</v>
      </c>
    </row>
    <row r="616" spans="1:6">
      <c r="A616" s="29">
        <v>25777</v>
      </c>
      <c r="B616" s="31" t="s">
        <v>1276</v>
      </c>
      <c r="C616" s="31" t="s">
        <v>140</v>
      </c>
      <c r="D616" s="31" t="s">
        <v>138</v>
      </c>
      <c r="E616" s="31" t="s">
        <v>729</v>
      </c>
      <c r="F616" s="32" t="s">
        <v>125</v>
      </c>
    </row>
    <row r="617" spans="1:6">
      <c r="A617" s="29">
        <v>25779</v>
      </c>
      <c r="B617" s="31" t="s">
        <v>1277</v>
      </c>
      <c r="C617" s="31" t="s">
        <v>140</v>
      </c>
      <c r="D617" s="31" t="s">
        <v>138</v>
      </c>
      <c r="E617" s="31" t="s">
        <v>729</v>
      </c>
      <c r="F617" s="32" t="s">
        <v>116</v>
      </c>
    </row>
    <row r="618" spans="1:6">
      <c r="A618" s="29">
        <v>25781</v>
      </c>
      <c r="B618" s="31" t="s">
        <v>1278</v>
      </c>
      <c r="C618" s="31" t="s">
        <v>140</v>
      </c>
      <c r="D618" s="31" t="s">
        <v>138</v>
      </c>
      <c r="E618" s="31" t="s">
        <v>729</v>
      </c>
      <c r="F618" s="32" t="s">
        <v>125</v>
      </c>
    </row>
    <row r="619" spans="1:6">
      <c r="A619" s="29">
        <v>25785</v>
      </c>
      <c r="B619" s="31" t="s">
        <v>1279</v>
      </c>
      <c r="C619" s="31" t="s">
        <v>140</v>
      </c>
      <c r="D619" s="31" t="s">
        <v>138</v>
      </c>
      <c r="E619" s="31" t="s">
        <v>729</v>
      </c>
      <c r="F619" s="32" t="s">
        <v>125</v>
      </c>
    </row>
    <row r="620" spans="1:6">
      <c r="A620" s="29">
        <v>25793</v>
      </c>
      <c r="B620" s="31" t="s">
        <v>1280</v>
      </c>
      <c r="C620" s="31" t="s">
        <v>140</v>
      </c>
      <c r="D620" s="31" t="s">
        <v>138</v>
      </c>
      <c r="E620" s="31" t="s">
        <v>729</v>
      </c>
      <c r="F620" s="32" t="s">
        <v>125</v>
      </c>
    </row>
    <row r="621" spans="1:6">
      <c r="A621" s="29">
        <v>25797</v>
      </c>
      <c r="B621" s="31" t="s">
        <v>1281</v>
      </c>
      <c r="C621" s="31" t="s">
        <v>140</v>
      </c>
      <c r="D621" s="31" t="s">
        <v>138</v>
      </c>
      <c r="E621" s="31" t="s">
        <v>729</v>
      </c>
      <c r="F621" s="32" t="s">
        <v>125</v>
      </c>
    </row>
    <row r="622" spans="1:6">
      <c r="A622" s="29">
        <v>25799</v>
      </c>
      <c r="B622" s="31" t="s">
        <v>1282</v>
      </c>
      <c r="C622" s="31" t="s">
        <v>140</v>
      </c>
      <c r="D622" s="31" t="s">
        <v>138</v>
      </c>
      <c r="E622" s="31" t="s">
        <v>729</v>
      </c>
      <c r="F622" s="32" t="s">
        <v>125</v>
      </c>
    </row>
    <row r="623" spans="1:6">
      <c r="A623" s="29">
        <v>25805</v>
      </c>
      <c r="B623" s="31" t="s">
        <v>1283</v>
      </c>
      <c r="C623" s="31" t="s">
        <v>140</v>
      </c>
      <c r="D623" s="31" t="s">
        <v>138</v>
      </c>
      <c r="E623" s="31" t="s">
        <v>729</v>
      </c>
      <c r="F623" s="32" t="s">
        <v>125</v>
      </c>
    </row>
    <row r="624" spans="1:6">
      <c r="A624" s="29">
        <v>25807</v>
      </c>
      <c r="B624" s="31" t="s">
        <v>1284</v>
      </c>
      <c r="C624" s="31" t="s">
        <v>140</v>
      </c>
      <c r="D624" s="31" t="s">
        <v>138</v>
      </c>
      <c r="E624" s="31" t="s">
        <v>729</v>
      </c>
      <c r="F624" s="32" t="s">
        <v>116</v>
      </c>
    </row>
    <row r="625" spans="1:6">
      <c r="A625" s="29">
        <v>25815</v>
      </c>
      <c r="B625" s="31" t="s">
        <v>1285</v>
      </c>
      <c r="C625" s="31" t="s">
        <v>140</v>
      </c>
      <c r="D625" s="31" t="s">
        <v>138</v>
      </c>
      <c r="E625" s="31" t="s">
        <v>729</v>
      </c>
      <c r="F625" s="32" t="s">
        <v>116</v>
      </c>
    </row>
    <row r="626" spans="1:6">
      <c r="A626" s="29">
        <v>25817</v>
      </c>
      <c r="B626" s="31" t="s">
        <v>146</v>
      </c>
      <c r="C626" s="31" t="s">
        <v>140</v>
      </c>
      <c r="D626" s="31" t="s">
        <v>138</v>
      </c>
      <c r="E626" s="31" t="s">
        <v>729</v>
      </c>
      <c r="F626" s="32" t="s">
        <v>125</v>
      </c>
    </row>
    <row r="627" spans="1:6">
      <c r="A627" s="29">
        <v>25823</v>
      </c>
      <c r="B627" s="31" t="s">
        <v>1286</v>
      </c>
      <c r="C627" s="31" t="s">
        <v>140</v>
      </c>
      <c r="D627" s="31" t="s">
        <v>138</v>
      </c>
      <c r="E627" s="31" t="s">
        <v>729</v>
      </c>
      <c r="F627" s="32" t="s">
        <v>116</v>
      </c>
    </row>
    <row r="628" spans="1:6">
      <c r="A628" s="29">
        <v>25839</v>
      </c>
      <c r="B628" s="31" t="s">
        <v>1287</v>
      </c>
      <c r="C628" s="31" t="s">
        <v>140</v>
      </c>
      <c r="D628" s="31" t="s">
        <v>138</v>
      </c>
      <c r="E628" s="31" t="s">
        <v>729</v>
      </c>
      <c r="F628" s="32" t="s">
        <v>116</v>
      </c>
    </row>
    <row r="629" spans="1:6">
      <c r="A629" s="29">
        <v>25841</v>
      </c>
      <c r="B629" s="31" t="s">
        <v>1288</v>
      </c>
      <c r="C629" s="31" t="s">
        <v>140</v>
      </c>
      <c r="D629" s="31" t="s">
        <v>138</v>
      </c>
      <c r="E629" s="31" t="s">
        <v>729</v>
      </c>
      <c r="F629" s="32" t="s">
        <v>125</v>
      </c>
    </row>
    <row r="630" spans="1:6">
      <c r="A630" s="29">
        <v>25845</v>
      </c>
      <c r="B630" s="31" t="s">
        <v>1289</v>
      </c>
      <c r="C630" s="31" t="s">
        <v>140</v>
      </c>
      <c r="D630" s="31" t="s">
        <v>138</v>
      </c>
      <c r="E630" s="31" t="s">
        <v>729</v>
      </c>
      <c r="F630" s="32" t="s">
        <v>125</v>
      </c>
    </row>
    <row r="631" spans="1:6">
      <c r="A631" s="29">
        <v>25851</v>
      </c>
      <c r="B631" s="31" t="s">
        <v>1290</v>
      </c>
      <c r="C631" s="31" t="s">
        <v>140</v>
      </c>
      <c r="D631" s="31" t="s">
        <v>138</v>
      </c>
      <c r="E631" s="31" t="s">
        <v>729</v>
      </c>
      <c r="F631" s="32" t="s">
        <v>116</v>
      </c>
    </row>
    <row r="632" spans="1:6">
      <c r="A632" s="29">
        <v>25862</v>
      </c>
      <c r="B632" s="31" t="s">
        <v>1291</v>
      </c>
      <c r="C632" s="31" t="s">
        <v>140</v>
      </c>
      <c r="D632" s="31" t="s">
        <v>138</v>
      </c>
      <c r="E632" s="31" t="s">
        <v>729</v>
      </c>
      <c r="F632" s="32" t="s">
        <v>116</v>
      </c>
    </row>
    <row r="633" spans="1:6">
      <c r="A633" s="29">
        <v>25867</v>
      </c>
      <c r="B633" s="31" t="s">
        <v>1292</v>
      </c>
      <c r="C633" s="31" t="s">
        <v>140</v>
      </c>
      <c r="D633" s="31" t="s">
        <v>138</v>
      </c>
      <c r="E633" s="31" t="s">
        <v>729</v>
      </c>
      <c r="F633" s="32" t="s">
        <v>116</v>
      </c>
    </row>
    <row r="634" spans="1:6">
      <c r="A634" s="29">
        <v>25843</v>
      </c>
      <c r="B634" s="31" t="s">
        <v>1293</v>
      </c>
      <c r="C634" s="31" t="s">
        <v>140</v>
      </c>
      <c r="D634" s="31" t="s">
        <v>138</v>
      </c>
      <c r="E634" s="31" t="s">
        <v>729</v>
      </c>
      <c r="F634" s="32" t="s">
        <v>125</v>
      </c>
    </row>
    <row r="635" spans="1:6">
      <c r="A635" s="29">
        <v>25871</v>
      </c>
      <c r="B635" s="31" t="s">
        <v>1294</v>
      </c>
      <c r="C635" s="31" t="s">
        <v>140</v>
      </c>
      <c r="D635" s="31" t="s">
        <v>138</v>
      </c>
      <c r="E635" s="31" t="s">
        <v>729</v>
      </c>
      <c r="F635" s="32" t="s">
        <v>116</v>
      </c>
    </row>
    <row r="636" spans="1:6">
      <c r="A636" s="29">
        <v>25873</v>
      </c>
      <c r="B636" s="31" t="s">
        <v>1295</v>
      </c>
      <c r="C636" s="31" t="s">
        <v>140</v>
      </c>
      <c r="D636" s="31" t="s">
        <v>152</v>
      </c>
      <c r="E636" s="31" t="s">
        <v>729</v>
      </c>
      <c r="F636" s="32" t="s">
        <v>125</v>
      </c>
    </row>
    <row r="637" spans="1:6">
      <c r="A637" s="29">
        <v>25875</v>
      </c>
      <c r="B637" s="31" t="s">
        <v>1296</v>
      </c>
      <c r="C637" s="31" t="s">
        <v>140</v>
      </c>
      <c r="D637" s="31" t="s">
        <v>138</v>
      </c>
      <c r="E637" s="31" t="s">
        <v>729</v>
      </c>
      <c r="F637" s="32" t="s">
        <v>125</v>
      </c>
    </row>
    <row r="638" spans="1:6">
      <c r="A638" s="29">
        <v>25878</v>
      </c>
      <c r="B638" s="31" t="s">
        <v>1297</v>
      </c>
      <c r="C638" s="31" t="s">
        <v>140</v>
      </c>
      <c r="D638" s="31" t="s">
        <v>138</v>
      </c>
      <c r="E638" s="31" t="s">
        <v>729</v>
      </c>
      <c r="F638" s="32" t="s">
        <v>116</v>
      </c>
    </row>
    <row r="639" spans="1:6">
      <c r="A639" s="29">
        <v>25885</v>
      </c>
      <c r="B639" s="31" t="s">
        <v>1298</v>
      </c>
      <c r="C639" s="31" t="s">
        <v>140</v>
      </c>
      <c r="D639" s="31" t="s">
        <v>138</v>
      </c>
      <c r="E639" s="31" t="s">
        <v>729</v>
      </c>
      <c r="F639" s="32" t="s">
        <v>176</v>
      </c>
    </row>
    <row r="640" spans="1:6">
      <c r="A640" s="29">
        <v>25898</v>
      </c>
      <c r="B640" s="31" t="s">
        <v>1299</v>
      </c>
      <c r="C640" s="31" t="s">
        <v>140</v>
      </c>
      <c r="D640" s="31" t="s">
        <v>138</v>
      </c>
      <c r="E640" s="31" t="s">
        <v>729</v>
      </c>
      <c r="F640" s="32" t="s">
        <v>125</v>
      </c>
    </row>
    <row r="641" spans="1:6">
      <c r="A641" s="29">
        <v>25899</v>
      </c>
      <c r="B641" s="31" t="s">
        <v>1300</v>
      </c>
      <c r="C641" s="31" t="s">
        <v>140</v>
      </c>
      <c r="D641" s="31" t="s">
        <v>138</v>
      </c>
      <c r="E641" s="31" t="s">
        <v>729</v>
      </c>
      <c r="F641" s="32" t="s">
        <v>125</v>
      </c>
    </row>
    <row r="642" spans="1:6">
      <c r="A642" s="29">
        <v>94884</v>
      </c>
      <c r="B642" s="30" t="s">
        <v>849</v>
      </c>
      <c r="C642" s="31" t="s">
        <v>1301</v>
      </c>
      <c r="D642" s="31" t="s">
        <v>106</v>
      </c>
      <c r="E642" s="31" t="s">
        <v>717</v>
      </c>
      <c r="F642" s="32" t="s">
        <v>93</v>
      </c>
    </row>
    <row r="643" spans="1:6">
      <c r="A643" s="29">
        <v>94343</v>
      </c>
      <c r="B643" s="31" t="s">
        <v>1302</v>
      </c>
      <c r="C643" s="31" t="s">
        <v>1301</v>
      </c>
      <c r="D643" s="31" t="s">
        <v>106</v>
      </c>
      <c r="E643" s="31" t="s">
        <v>717</v>
      </c>
      <c r="F643" s="32" t="s">
        <v>93</v>
      </c>
    </row>
    <row r="644" spans="1:6">
      <c r="A644" s="29">
        <v>94886</v>
      </c>
      <c r="B644" s="31" t="s">
        <v>1303</v>
      </c>
      <c r="C644" s="31" t="s">
        <v>1301</v>
      </c>
      <c r="D644" s="31" t="s">
        <v>106</v>
      </c>
      <c r="E644" s="31" t="s">
        <v>717</v>
      </c>
      <c r="F644" s="32" t="s">
        <v>93</v>
      </c>
    </row>
    <row r="645" spans="1:6">
      <c r="A645" s="29">
        <v>94001</v>
      </c>
      <c r="B645" s="31" t="s">
        <v>1304</v>
      </c>
      <c r="C645" s="31" t="s">
        <v>1301</v>
      </c>
      <c r="D645" s="31" t="s">
        <v>138</v>
      </c>
      <c r="E645" s="31" t="s">
        <v>717</v>
      </c>
      <c r="F645" s="32" t="s">
        <v>93</v>
      </c>
    </row>
    <row r="646" spans="1:6">
      <c r="A646" s="29">
        <v>94885</v>
      </c>
      <c r="B646" s="31" t="s">
        <v>1305</v>
      </c>
      <c r="C646" s="31" t="s">
        <v>1301</v>
      </c>
      <c r="D646" s="31" t="s">
        <v>106</v>
      </c>
      <c r="E646" s="31" t="s">
        <v>717</v>
      </c>
      <c r="F646" s="32" t="s">
        <v>93</v>
      </c>
    </row>
    <row r="647" spans="1:6">
      <c r="A647" s="29">
        <v>94663</v>
      </c>
      <c r="B647" s="31" t="s">
        <v>1306</v>
      </c>
      <c r="C647" s="31" t="s">
        <v>1301</v>
      </c>
      <c r="D647" s="31" t="s">
        <v>106</v>
      </c>
      <c r="E647" s="31" t="s">
        <v>717</v>
      </c>
      <c r="F647" s="32" t="s">
        <v>93</v>
      </c>
    </row>
    <row r="648" spans="1:6">
      <c r="A648" s="29">
        <v>94888</v>
      </c>
      <c r="B648" s="31" t="s">
        <v>1307</v>
      </c>
      <c r="C648" s="31" t="s">
        <v>1301</v>
      </c>
      <c r="D648" s="31" t="s">
        <v>106</v>
      </c>
      <c r="E648" s="31" t="s">
        <v>717</v>
      </c>
      <c r="F648" s="32" t="s">
        <v>93</v>
      </c>
    </row>
    <row r="649" spans="1:6">
      <c r="A649" s="29">
        <v>94887</v>
      </c>
      <c r="B649" s="31" t="s">
        <v>1308</v>
      </c>
      <c r="C649" s="31" t="s">
        <v>1301</v>
      </c>
      <c r="D649" s="31" t="s">
        <v>106</v>
      </c>
      <c r="E649" s="31" t="s">
        <v>717</v>
      </c>
      <c r="F649" s="32" t="s">
        <v>93</v>
      </c>
    </row>
    <row r="650" spans="1:6">
      <c r="A650" s="29">
        <v>94883</v>
      </c>
      <c r="B650" s="31" t="s">
        <v>1309</v>
      </c>
      <c r="C650" s="31" t="s">
        <v>1301</v>
      </c>
      <c r="D650" s="31" t="s">
        <v>106</v>
      </c>
      <c r="E650" s="31" t="s">
        <v>717</v>
      </c>
      <c r="F650" s="32" t="s">
        <v>93</v>
      </c>
    </row>
    <row r="651" spans="1:6">
      <c r="A651" s="29">
        <v>95015</v>
      </c>
      <c r="B651" s="30" t="s">
        <v>867</v>
      </c>
      <c r="C651" s="31" t="s">
        <v>1310</v>
      </c>
      <c r="D651" s="31" t="s">
        <v>106</v>
      </c>
      <c r="E651" s="31" t="s">
        <v>717</v>
      </c>
      <c r="F651" s="32" t="s">
        <v>93</v>
      </c>
    </row>
    <row r="652" spans="1:6">
      <c r="A652" s="29">
        <v>95200</v>
      </c>
      <c r="B652" s="30" t="s">
        <v>913</v>
      </c>
      <c r="C652" s="31" t="s">
        <v>1310</v>
      </c>
      <c r="D652" s="31" t="s">
        <v>106</v>
      </c>
      <c r="E652" s="31" t="s">
        <v>717</v>
      </c>
      <c r="F652" s="32" t="s">
        <v>93</v>
      </c>
    </row>
    <row r="653" spans="1:6">
      <c r="A653" s="29">
        <v>95025</v>
      </c>
      <c r="B653" s="31" t="s">
        <v>1311</v>
      </c>
      <c r="C653" s="31" t="s">
        <v>1310</v>
      </c>
      <c r="D653" s="31" t="s">
        <v>106</v>
      </c>
      <c r="E653" s="31" t="s">
        <v>729</v>
      </c>
      <c r="F653" s="32" t="s">
        <v>176</v>
      </c>
    </row>
    <row r="654" spans="1:6">
      <c r="A654" s="29">
        <v>95001</v>
      </c>
      <c r="B654" s="31" t="s">
        <v>1312</v>
      </c>
      <c r="C654" s="31" t="s">
        <v>1310</v>
      </c>
      <c r="D654" s="31" t="s">
        <v>106</v>
      </c>
      <c r="E654" s="31" t="s">
        <v>729</v>
      </c>
      <c r="F654" s="32" t="s">
        <v>176</v>
      </c>
    </row>
    <row r="655" spans="1:6">
      <c r="A655" s="29">
        <v>41319</v>
      </c>
      <c r="B655" s="30" t="s">
        <v>737</v>
      </c>
      <c r="C655" s="31" t="s">
        <v>191</v>
      </c>
      <c r="D655" s="31" t="s">
        <v>189</v>
      </c>
      <c r="E655" s="31" t="s">
        <v>729</v>
      </c>
      <c r="F655" s="32" t="s">
        <v>116</v>
      </c>
    </row>
    <row r="656" spans="1:6">
      <c r="A656" s="29">
        <v>41530</v>
      </c>
      <c r="B656" s="30" t="s">
        <v>1027</v>
      </c>
      <c r="C656" s="31" t="s">
        <v>191</v>
      </c>
      <c r="D656" s="31" t="s">
        <v>189</v>
      </c>
      <c r="E656" s="31" t="s">
        <v>729</v>
      </c>
      <c r="F656" s="32" t="s">
        <v>176</v>
      </c>
    </row>
    <row r="657" spans="1:6">
      <c r="A657" s="29">
        <v>41676</v>
      </c>
      <c r="B657" s="30" t="s">
        <v>915</v>
      </c>
      <c r="C657" s="31" t="s">
        <v>191</v>
      </c>
      <c r="D657" s="31" t="s">
        <v>189</v>
      </c>
      <c r="E657" s="31" t="s">
        <v>729</v>
      </c>
      <c r="F657" s="32" t="s">
        <v>116</v>
      </c>
    </row>
    <row r="658" spans="1:6">
      <c r="A658" s="29">
        <v>41006</v>
      </c>
      <c r="B658" s="31" t="s">
        <v>1313</v>
      </c>
      <c r="C658" s="31" t="s">
        <v>191</v>
      </c>
      <c r="D658" s="31" t="s">
        <v>189</v>
      </c>
      <c r="E658" s="31" t="s">
        <v>729</v>
      </c>
      <c r="F658" s="32" t="s">
        <v>116</v>
      </c>
    </row>
    <row r="659" spans="1:6">
      <c r="A659" s="29">
        <v>41013</v>
      </c>
      <c r="B659" s="31" t="s">
        <v>1314</v>
      </c>
      <c r="C659" s="31" t="s">
        <v>191</v>
      </c>
      <c r="D659" s="31" t="s">
        <v>189</v>
      </c>
      <c r="E659" s="31" t="s">
        <v>729</v>
      </c>
      <c r="F659" s="32" t="s">
        <v>116</v>
      </c>
    </row>
    <row r="660" spans="1:6">
      <c r="A660" s="29">
        <v>41016</v>
      </c>
      <c r="B660" s="31" t="s">
        <v>1315</v>
      </c>
      <c r="C660" s="31" t="s">
        <v>191</v>
      </c>
      <c r="D660" s="31" t="s">
        <v>189</v>
      </c>
      <c r="E660" s="31" t="s">
        <v>729</v>
      </c>
      <c r="F660" s="32" t="s">
        <v>125</v>
      </c>
    </row>
    <row r="661" spans="1:6">
      <c r="A661" s="29">
        <v>41020</v>
      </c>
      <c r="B661" s="31" t="s">
        <v>1316</v>
      </c>
      <c r="C661" s="31" t="s">
        <v>191</v>
      </c>
      <c r="D661" s="31" t="s">
        <v>189</v>
      </c>
      <c r="E661" s="31" t="s">
        <v>729</v>
      </c>
      <c r="F661" s="32" t="s">
        <v>125</v>
      </c>
    </row>
    <row r="662" spans="1:6">
      <c r="A662" s="29">
        <v>41026</v>
      </c>
      <c r="B662" s="31" t="s">
        <v>1317</v>
      </c>
      <c r="C662" s="31" t="s">
        <v>191</v>
      </c>
      <c r="D662" s="31" t="s">
        <v>189</v>
      </c>
      <c r="E662" s="31" t="s">
        <v>729</v>
      </c>
      <c r="F662" s="32" t="s">
        <v>116</v>
      </c>
    </row>
    <row r="663" spans="1:6">
      <c r="A663" s="29">
        <v>41078</v>
      </c>
      <c r="B663" s="31" t="s">
        <v>1318</v>
      </c>
      <c r="C663" s="31" t="s">
        <v>191</v>
      </c>
      <c r="D663" s="31" t="s">
        <v>189</v>
      </c>
      <c r="E663" s="31" t="s">
        <v>729</v>
      </c>
      <c r="F663" s="32" t="s">
        <v>125</v>
      </c>
    </row>
    <row r="664" spans="1:6">
      <c r="A664" s="29">
        <v>41132</v>
      </c>
      <c r="B664" s="31" t="s">
        <v>1319</v>
      </c>
      <c r="C664" s="31" t="s">
        <v>191</v>
      </c>
      <c r="D664" s="31" t="s">
        <v>189</v>
      </c>
      <c r="E664" s="31" t="s">
        <v>729</v>
      </c>
      <c r="F664" s="32" t="s">
        <v>125</v>
      </c>
    </row>
    <row r="665" spans="1:6">
      <c r="A665" s="29">
        <v>41206</v>
      </c>
      <c r="B665" s="31" t="s">
        <v>1320</v>
      </c>
      <c r="C665" s="31" t="s">
        <v>191</v>
      </c>
      <c r="D665" s="31" t="s">
        <v>189</v>
      </c>
      <c r="E665" s="31" t="s">
        <v>729</v>
      </c>
      <c r="F665" s="32" t="s">
        <v>116</v>
      </c>
    </row>
    <row r="666" spans="1:6">
      <c r="A666" s="29">
        <v>41244</v>
      </c>
      <c r="B666" s="31" t="s">
        <v>1321</v>
      </c>
      <c r="C666" s="31" t="s">
        <v>191</v>
      </c>
      <c r="D666" s="31" t="s">
        <v>189</v>
      </c>
      <c r="E666" s="31" t="s">
        <v>729</v>
      </c>
      <c r="F666" s="32" t="s">
        <v>116</v>
      </c>
    </row>
    <row r="667" spans="1:6">
      <c r="A667" s="29">
        <v>41298</v>
      </c>
      <c r="B667" s="31" t="s">
        <v>1322</v>
      </c>
      <c r="C667" s="31" t="s">
        <v>191</v>
      </c>
      <c r="D667" s="31" t="s">
        <v>189</v>
      </c>
      <c r="E667" s="31" t="s">
        <v>729</v>
      </c>
      <c r="F667" s="32" t="s">
        <v>116</v>
      </c>
    </row>
    <row r="668" spans="1:6">
      <c r="A668" s="29">
        <v>41306</v>
      </c>
      <c r="B668" s="31" t="s">
        <v>1323</v>
      </c>
      <c r="C668" s="31" t="s">
        <v>191</v>
      </c>
      <c r="D668" s="31" t="s">
        <v>189</v>
      </c>
      <c r="E668" s="31" t="s">
        <v>729</v>
      </c>
      <c r="F668" s="32" t="s">
        <v>125</v>
      </c>
    </row>
    <row r="669" spans="1:6">
      <c r="A669" s="29">
        <v>41349</v>
      </c>
      <c r="B669" s="31" t="s">
        <v>1324</v>
      </c>
      <c r="C669" s="31" t="s">
        <v>191</v>
      </c>
      <c r="D669" s="31" t="s">
        <v>189</v>
      </c>
      <c r="E669" s="31" t="s">
        <v>729</v>
      </c>
      <c r="F669" s="32" t="s">
        <v>125</v>
      </c>
    </row>
    <row r="670" spans="1:6">
      <c r="A670" s="29">
        <v>41357</v>
      </c>
      <c r="B670" s="31" t="s">
        <v>1325</v>
      </c>
      <c r="C670" s="31" t="s">
        <v>191</v>
      </c>
      <c r="D670" s="31" t="s">
        <v>189</v>
      </c>
      <c r="E670" s="31" t="s">
        <v>729</v>
      </c>
      <c r="F670" s="32" t="s">
        <v>125</v>
      </c>
    </row>
    <row r="671" spans="1:6">
      <c r="A671" s="29">
        <v>41359</v>
      </c>
      <c r="B671" s="31" t="s">
        <v>1326</v>
      </c>
      <c r="C671" s="31" t="s">
        <v>191</v>
      </c>
      <c r="D671" s="31" t="s">
        <v>189</v>
      </c>
      <c r="E671" s="31" t="s">
        <v>729</v>
      </c>
      <c r="F671" s="32" t="s">
        <v>176</v>
      </c>
    </row>
    <row r="672" spans="1:6">
      <c r="A672" s="29">
        <v>41378</v>
      </c>
      <c r="B672" s="31" t="s">
        <v>1327</v>
      </c>
      <c r="C672" s="31" t="s">
        <v>191</v>
      </c>
      <c r="D672" s="31" t="s">
        <v>189</v>
      </c>
      <c r="E672" s="31" t="s">
        <v>729</v>
      </c>
      <c r="F672" s="32" t="s">
        <v>116</v>
      </c>
    </row>
    <row r="673" spans="1:6">
      <c r="A673" s="29">
        <v>41396</v>
      </c>
      <c r="B673" s="31" t="s">
        <v>1328</v>
      </c>
      <c r="C673" s="31" t="s">
        <v>191</v>
      </c>
      <c r="D673" s="31" t="s">
        <v>189</v>
      </c>
      <c r="E673" s="31" t="s">
        <v>729</v>
      </c>
      <c r="F673" s="32" t="s">
        <v>116</v>
      </c>
    </row>
    <row r="674" spans="1:6">
      <c r="A674" s="29">
        <v>41483</v>
      </c>
      <c r="B674" s="31" t="s">
        <v>1329</v>
      </c>
      <c r="C674" s="31" t="s">
        <v>191</v>
      </c>
      <c r="D674" s="31" t="s">
        <v>189</v>
      </c>
      <c r="E674" s="31" t="s">
        <v>729</v>
      </c>
      <c r="F674" s="32" t="s">
        <v>116</v>
      </c>
    </row>
    <row r="675" spans="1:6">
      <c r="A675" s="29">
        <v>41001</v>
      </c>
      <c r="B675" s="31" t="s">
        <v>189</v>
      </c>
      <c r="C675" s="31" t="s">
        <v>191</v>
      </c>
      <c r="D675" s="31" t="s">
        <v>189</v>
      </c>
      <c r="E675" s="31" t="s">
        <v>729</v>
      </c>
      <c r="F675" s="32" t="s">
        <v>104</v>
      </c>
    </row>
    <row r="676" spans="1:6">
      <c r="A676" s="29">
        <v>41503</v>
      </c>
      <c r="B676" s="31" t="s">
        <v>1330</v>
      </c>
      <c r="C676" s="31" t="s">
        <v>191</v>
      </c>
      <c r="D676" s="31" t="s">
        <v>189</v>
      </c>
      <c r="E676" s="31" t="s">
        <v>729</v>
      </c>
      <c r="F676" s="32" t="s">
        <v>176</v>
      </c>
    </row>
    <row r="677" spans="1:6">
      <c r="A677" s="29">
        <v>41518</v>
      </c>
      <c r="B677" s="31" t="s">
        <v>1331</v>
      </c>
      <c r="C677" s="31" t="s">
        <v>191</v>
      </c>
      <c r="D677" s="31" t="s">
        <v>189</v>
      </c>
      <c r="E677" s="31" t="s">
        <v>729</v>
      </c>
      <c r="F677" s="32" t="s">
        <v>125</v>
      </c>
    </row>
    <row r="678" spans="1:6">
      <c r="A678" s="29">
        <v>41524</v>
      </c>
      <c r="B678" s="31" t="s">
        <v>1332</v>
      </c>
      <c r="C678" s="31" t="s">
        <v>191</v>
      </c>
      <c r="D678" s="31" t="s">
        <v>189</v>
      </c>
      <c r="E678" s="31" t="s">
        <v>729</v>
      </c>
      <c r="F678" s="32" t="s">
        <v>104</v>
      </c>
    </row>
    <row r="679" spans="1:6">
      <c r="A679" s="29">
        <v>41548</v>
      </c>
      <c r="B679" s="31" t="s">
        <v>1333</v>
      </c>
      <c r="C679" s="31" t="s">
        <v>191</v>
      </c>
      <c r="D679" s="31" t="s">
        <v>189</v>
      </c>
      <c r="E679" s="31" t="s">
        <v>729</v>
      </c>
      <c r="F679" s="32" t="s">
        <v>116</v>
      </c>
    </row>
    <row r="680" spans="1:6">
      <c r="A680" s="29">
        <v>41551</v>
      </c>
      <c r="B680" s="31" t="s">
        <v>359</v>
      </c>
      <c r="C680" s="31" t="s">
        <v>191</v>
      </c>
      <c r="D680" s="31" t="s">
        <v>189</v>
      </c>
      <c r="E680" s="31" t="s">
        <v>729</v>
      </c>
      <c r="F680" s="32" t="s">
        <v>116</v>
      </c>
    </row>
    <row r="681" spans="1:6">
      <c r="A681" s="29">
        <v>41615</v>
      </c>
      <c r="B681" s="31" t="s">
        <v>192</v>
      </c>
      <c r="C681" s="31" t="s">
        <v>191</v>
      </c>
      <c r="D681" s="31" t="s">
        <v>189</v>
      </c>
      <c r="E681" s="31" t="s">
        <v>729</v>
      </c>
      <c r="F681" s="32" t="s">
        <v>104</v>
      </c>
    </row>
    <row r="682" spans="1:6">
      <c r="A682" s="29">
        <v>41660</v>
      </c>
      <c r="B682" s="31" t="s">
        <v>1334</v>
      </c>
      <c r="C682" s="31" t="s">
        <v>191</v>
      </c>
      <c r="D682" s="31" t="s">
        <v>189</v>
      </c>
      <c r="E682" s="31" t="s">
        <v>729</v>
      </c>
      <c r="F682" s="32" t="s">
        <v>176</v>
      </c>
    </row>
    <row r="683" spans="1:6">
      <c r="A683" s="29">
        <v>41668</v>
      </c>
      <c r="B683" s="31" t="s">
        <v>1335</v>
      </c>
      <c r="C683" s="31" t="s">
        <v>191</v>
      </c>
      <c r="D683" s="31" t="s">
        <v>189</v>
      </c>
      <c r="E683" s="31" t="s">
        <v>729</v>
      </c>
      <c r="F683" s="32" t="s">
        <v>176</v>
      </c>
    </row>
    <row r="684" spans="1:6">
      <c r="A684" s="29">
        <v>41770</v>
      </c>
      <c r="B684" s="31" t="s">
        <v>1336</v>
      </c>
      <c r="C684" s="31" t="s">
        <v>191</v>
      </c>
      <c r="D684" s="31" t="s">
        <v>189</v>
      </c>
      <c r="E684" s="31" t="s">
        <v>729</v>
      </c>
      <c r="F684" s="32" t="s">
        <v>116</v>
      </c>
    </row>
    <row r="685" spans="1:6">
      <c r="A685" s="29">
        <v>41791</v>
      </c>
      <c r="B685" s="31" t="s">
        <v>1337</v>
      </c>
      <c r="C685" s="31" t="s">
        <v>191</v>
      </c>
      <c r="D685" s="31" t="s">
        <v>189</v>
      </c>
      <c r="E685" s="31" t="s">
        <v>729</v>
      </c>
      <c r="F685" s="32" t="s">
        <v>116</v>
      </c>
    </row>
    <row r="686" spans="1:6">
      <c r="A686" s="29">
        <v>41799</v>
      </c>
      <c r="B686" s="31" t="s">
        <v>1338</v>
      </c>
      <c r="C686" s="31" t="s">
        <v>191</v>
      </c>
      <c r="D686" s="31" t="s">
        <v>189</v>
      </c>
      <c r="E686" s="31" t="s">
        <v>729</v>
      </c>
      <c r="F686" s="32" t="s">
        <v>125</v>
      </c>
    </row>
    <row r="687" spans="1:6">
      <c r="A687" s="29">
        <v>41801</v>
      </c>
      <c r="B687" s="31" t="s">
        <v>1339</v>
      </c>
      <c r="C687" s="31" t="s">
        <v>191</v>
      </c>
      <c r="D687" s="31" t="s">
        <v>189</v>
      </c>
      <c r="E687" s="31" t="s">
        <v>729</v>
      </c>
      <c r="F687" s="32" t="s">
        <v>125</v>
      </c>
    </row>
    <row r="688" spans="1:6">
      <c r="A688" s="29">
        <v>41797</v>
      </c>
      <c r="B688" s="31" t="s">
        <v>1340</v>
      </c>
      <c r="C688" s="31" t="s">
        <v>191</v>
      </c>
      <c r="D688" s="31" t="s">
        <v>189</v>
      </c>
      <c r="E688" s="31" t="s">
        <v>729</v>
      </c>
      <c r="F688" s="32" t="s">
        <v>125</v>
      </c>
    </row>
    <row r="689" spans="1:6">
      <c r="A689" s="29">
        <v>41807</v>
      </c>
      <c r="B689" s="31" t="s">
        <v>1341</v>
      </c>
      <c r="C689" s="31" t="s">
        <v>191</v>
      </c>
      <c r="D689" s="31" t="s">
        <v>189</v>
      </c>
      <c r="E689" s="31" t="s">
        <v>729</v>
      </c>
      <c r="F689" s="32" t="s">
        <v>116</v>
      </c>
    </row>
    <row r="690" spans="1:6">
      <c r="A690" s="29">
        <v>41872</v>
      </c>
      <c r="B690" s="31" t="s">
        <v>1342</v>
      </c>
      <c r="C690" s="31" t="s">
        <v>191</v>
      </c>
      <c r="D690" s="31" t="s">
        <v>189</v>
      </c>
      <c r="E690" s="31" t="s">
        <v>729</v>
      </c>
      <c r="F690" s="32" t="s">
        <v>125</v>
      </c>
    </row>
    <row r="691" spans="1:6">
      <c r="A691" s="29">
        <v>41885</v>
      </c>
      <c r="B691" s="31" t="s">
        <v>1343</v>
      </c>
      <c r="C691" s="31" t="s">
        <v>191</v>
      </c>
      <c r="D691" s="31" t="s">
        <v>189</v>
      </c>
      <c r="E691" s="31" t="s">
        <v>729</v>
      </c>
      <c r="F691" s="32" t="s">
        <v>125</v>
      </c>
    </row>
    <row r="692" spans="1:6">
      <c r="A692" s="29">
        <v>44035</v>
      </c>
      <c r="B692" s="30" t="s">
        <v>1053</v>
      </c>
      <c r="C692" s="31" t="s">
        <v>624</v>
      </c>
      <c r="D692" s="31" t="s">
        <v>391</v>
      </c>
      <c r="E692" s="31" t="s">
        <v>729</v>
      </c>
      <c r="F692" s="32" t="s">
        <v>116</v>
      </c>
    </row>
    <row r="693" spans="1:6">
      <c r="A693" s="29">
        <v>44560</v>
      </c>
      <c r="B693" s="30" t="s">
        <v>1120</v>
      </c>
      <c r="C693" s="31" t="s">
        <v>624</v>
      </c>
      <c r="D693" s="31" t="s">
        <v>260</v>
      </c>
      <c r="E693" s="31" t="s">
        <v>729</v>
      </c>
      <c r="F693" s="32" t="s">
        <v>176</v>
      </c>
    </row>
    <row r="694" spans="1:6">
      <c r="A694" s="29">
        <v>44874</v>
      </c>
      <c r="B694" s="30" t="s">
        <v>431</v>
      </c>
      <c r="C694" s="31" t="s">
        <v>624</v>
      </c>
      <c r="D694" s="31" t="s">
        <v>391</v>
      </c>
      <c r="E694" s="31" t="s">
        <v>729</v>
      </c>
      <c r="F694" s="32" t="s">
        <v>125</v>
      </c>
    </row>
    <row r="695" spans="1:6">
      <c r="A695" s="29">
        <v>44078</v>
      </c>
      <c r="B695" s="31" t="s">
        <v>1344</v>
      </c>
      <c r="C695" s="31" t="s">
        <v>624</v>
      </c>
      <c r="D695" s="31" t="s">
        <v>391</v>
      </c>
      <c r="E695" s="31" t="s">
        <v>729</v>
      </c>
      <c r="F695" s="32" t="s">
        <v>125</v>
      </c>
    </row>
    <row r="696" spans="1:6">
      <c r="A696" s="29">
        <v>44090</v>
      </c>
      <c r="B696" s="31" t="s">
        <v>1345</v>
      </c>
      <c r="C696" s="31" t="s">
        <v>624</v>
      </c>
      <c r="D696" s="31" t="s">
        <v>260</v>
      </c>
      <c r="E696" s="31" t="s">
        <v>729</v>
      </c>
      <c r="F696" s="32" t="s">
        <v>116</v>
      </c>
    </row>
    <row r="697" spans="1:6">
      <c r="A697" s="29">
        <v>44098</v>
      </c>
      <c r="B697" s="31" t="s">
        <v>1346</v>
      </c>
      <c r="C697" s="31" t="s">
        <v>624</v>
      </c>
      <c r="D697" s="31" t="s">
        <v>391</v>
      </c>
      <c r="E697" s="31" t="s">
        <v>729</v>
      </c>
      <c r="F697" s="32" t="s">
        <v>125</v>
      </c>
    </row>
    <row r="698" spans="1:6">
      <c r="A698" s="29">
        <v>44110</v>
      </c>
      <c r="B698" s="31" t="s">
        <v>1347</v>
      </c>
      <c r="C698" s="31" t="s">
        <v>624</v>
      </c>
      <c r="D698" s="31" t="s">
        <v>391</v>
      </c>
      <c r="E698" s="31" t="s">
        <v>729</v>
      </c>
      <c r="F698" s="32" t="s">
        <v>125</v>
      </c>
    </row>
    <row r="699" spans="1:6">
      <c r="A699" s="29">
        <v>44279</v>
      </c>
      <c r="B699" s="31" t="s">
        <v>1348</v>
      </c>
      <c r="C699" s="31" t="s">
        <v>624</v>
      </c>
      <c r="D699" s="31" t="s">
        <v>391</v>
      </c>
      <c r="E699" s="31" t="s">
        <v>729</v>
      </c>
      <c r="F699" s="32" t="s">
        <v>125</v>
      </c>
    </row>
    <row r="700" spans="1:6">
      <c r="A700" s="29">
        <v>44378</v>
      </c>
      <c r="B700" s="31" t="s">
        <v>1349</v>
      </c>
      <c r="C700" s="31" t="s">
        <v>624</v>
      </c>
      <c r="D700" s="31" t="s">
        <v>391</v>
      </c>
      <c r="E700" s="31" t="s">
        <v>729</v>
      </c>
      <c r="F700" s="32" t="s">
        <v>116</v>
      </c>
    </row>
    <row r="701" spans="1:6">
      <c r="A701" s="29">
        <v>44420</v>
      </c>
      <c r="B701" s="31" t="s">
        <v>1350</v>
      </c>
      <c r="C701" s="31" t="s">
        <v>624</v>
      </c>
      <c r="D701" s="31" t="s">
        <v>391</v>
      </c>
      <c r="E701" s="31" t="s">
        <v>729</v>
      </c>
      <c r="F701" s="32" t="s">
        <v>125</v>
      </c>
    </row>
    <row r="702" spans="1:6">
      <c r="A702" s="29">
        <v>44430</v>
      </c>
      <c r="B702" s="31" t="s">
        <v>625</v>
      </c>
      <c r="C702" s="31" t="s">
        <v>624</v>
      </c>
      <c r="D702" s="31" t="s">
        <v>260</v>
      </c>
      <c r="E702" s="31" t="s">
        <v>729</v>
      </c>
      <c r="F702" s="32" t="s">
        <v>176</v>
      </c>
    </row>
    <row r="703" spans="1:6">
      <c r="A703" s="29">
        <v>44001</v>
      </c>
      <c r="B703" s="31" t="s">
        <v>1351</v>
      </c>
      <c r="C703" s="31" t="s">
        <v>624</v>
      </c>
      <c r="D703" s="31" t="s">
        <v>260</v>
      </c>
      <c r="E703" s="31" t="s">
        <v>729</v>
      </c>
      <c r="F703" s="32" t="s">
        <v>116</v>
      </c>
    </row>
    <row r="704" spans="1:6">
      <c r="A704" s="29">
        <v>44650</v>
      </c>
      <c r="B704" s="31" t="s">
        <v>1352</v>
      </c>
      <c r="C704" s="31" t="s">
        <v>624</v>
      </c>
      <c r="D704" s="31" t="s">
        <v>391</v>
      </c>
      <c r="E704" s="31" t="s">
        <v>729</v>
      </c>
      <c r="F704" s="32" t="s">
        <v>125</v>
      </c>
    </row>
    <row r="705" spans="1:6">
      <c r="A705" s="29">
        <v>44847</v>
      </c>
      <c r="B705" s="31" t="s">
        <v>1353</v>
      </c>
      <c r="C705" s="31" t="s">
        <v>624</v>
      </c>
      <c r="D705" s="31" t="s">
        <v>260</v>
      </c>
      <c r="E705" s="31" t="s">
        <v>729</v>
      </c>
      <c r="F705" s="32" t="s">
        <v>176</v>
      </c>
    </row>
    <row r="706" spans="1:6">
      <c r="A706" s="29">
        <v>44855</v>
      </c>
      <c r="B706" s="31" t="s">
        <v>1354</v>
      </c>
      <c r="C706" s="31" t="s">
        <v>624</v>
      </c>
      <c r="D706" s="31" t="s">
        <v>391</v>
      </c>
      <c r="E706" s="31" t="s">
        <v>729</v>
      </c>
      <c r="F706" s="32" t="s">
        <v>125</v>
      </c>
    </row>
    <row r="707" spans="1:6">
      <c r="A707" s="29">
        <v>47189</v>
      </c>
      <c r="B707" s="30" t="s">
        <v>912</v>
      </c>
      <c r="C707" s="31" t="s">
        <v>262</v>
      </c>
      <c r="D707" s="31" t="s">
        <v>260</v>
      </c>
      <c r="E707" s="31" t="s">
        <v>729</v>
      </c>
      <c r="F707" s="32" t="s">
        <v>125</v>
      </c>
    </row>
    <row r="708" spans="1:6">
      <c r="A708" s="29">
        <v>47205</v>
      </c>
      <c r="B708" s="30" t="s">
        <v>735</v>
      </c>
      <c r="C708" s="31" t="s">
        <v>262</v>
      </c>
      <c r="D708" s="31" t="s">
        <v>603</v>
      </c>
      <c r="E708" s="31" t="s">
        <v>729</v>
      </c>
      <c r="F708" s="32" t="s">
        <v>116</v>
      </c>
    </row>
    <row r="709" spans="1:6">
      <c r="A709" s="29">
        <v>47318</v>
      </c>
      <c r="B709" s="30" t="s">
        <v>1355</v>
      </c>
      <c r="C709" s="31" t="s">
        <v>262</v>
      </c>
      <c r="D709" s="31" t="s">
        <v>260</v>
      </c>
      <c r="E709" s="31" t="s">
        <v>729</v>
      </c>
      <c r="F709" s="32" t="s">
        <v>176</v>
      </c>
    </row>
    <row r="710" spans="1:6">
      <c r="A710" s="29">
        <v>47675</v>
      </c>
      <c r="B710" s="30" t="s">
        <v>1029</v>
      </c>
      <c r="C710" s="31" t="s">
        <v>262</v>
      </c>
      <c r="D710" s="31" t="s">
        <v>603</v>
      </c>
      <c r="E710" s="31" t="s">
        <v>729</v>
      </c>
      <c r="F710" s="32" t="s">
        <v>125</v>
      </c>
    </row>
    <row r="711" spans="1:6">
      <c r="A711" s="29">
        <v>47030</v>
      </c>
      <c r="B711" s="31" t="s">
        <v>1356</v>
      </c>
      <c r="C711" s="31" t="s">
        <v>262</v>
      </c>
      <c r="D711" s="31" t="s">
        <v>260</v>
      </c>
      <c r="E711" s="31" t="s">
        <v>729</v>
      </c>
      <c r="F711" s="32" t="s">
        <v>176</v>
      </c>
    </row>
    <row r="712" spans="1:6">
      <c r="A712" s="29">
        <v>47053</v>
      </c>
      <c r="B712" s="31" t="s">
        <v>1357</v>
      </c>
      <c r="C712" s="31" t="s">
        <v>262</v>
      </c>
      <c r="D712" s="31" t="s">
        <v>260</v>
      </c>
      <c r="E712" s="31" t="s">
        <v>729</v>
      </c>
      <c r="F712" s="32" t="s">
        <v>116</v>
      </c>
    </row>
    <row r="713" spans="1:6">
      <c r="A713" s="29">
        <v>47058</v>
      </c>
      <c r="B713" s="31" t="s">
        <v>1358</v>
      </c>
      <c r="C713" s="31" t="s">
        <v>262</v>
      </c>
      <c r="D713" s="31" t="s">
        <v>391</v>
      </c>
      <c r="E713" s="31" t="s">
        <v>729</v>
      </c>
      <c r="F713" s="32" t="s">
        <v>116</v>
      </c>
    </row>
    <row r="714" spans="1:6">
      <c r="A714" s="29">
        <v>47161</v>
      </c>
      <c r="B714" s="31" t="s">
        <v>1359</v>
      </c>
      <c r="C714" s="31" t="s">
        <v>262</v>
      </c>
      <c r="D714" s="31" t="s">
        <v>603</v>
      </c>
      <c r="E714" s="31" t="s">
        <v>729</v>
      </c>
      <c r="F714" s="32" t="s">
        <v>176</v>
      </c>
    </row>
    <row r="715" spans="1:6">
      <c r="A715" s="29">
        <v>47170</v>
      </c>
      <c r="B715" s="31" t="s">
        <v>1360</v>
      </c>
      <c r="C715" s="31" t="s">
        <v>262</v>
      </c>
      <c r="D715" s="31" t="s">
        <v>260</v>
      </c>
      <c r="E715" s="31" t="s">
        <v>729</v>
      </c>
      <c r="F715" s="32" t="s">
        <v>176</v>
      </c>
    </row>
    <row r="716" spans="1:6">
      <c r="A716" s="29">
        <v>47245</v>
      </c>
      <c r="B716" s="31" t="s">
        <v>1361</v>
      </c>
      <c r="C716" s="31" t="s">
        <v>262</v>
      </c>
      <c r="D716" s="31" t="s">
        <v>260</v>
      </c>
      <c r="E716" s="31" t="s">
        <v>729</v>
      </c>
      <c r="F716" s="32" t="s">
        <v>176</v>
      </c>
    </row>
    <row r="717" spans="1:6">
      <c r="A717" s="29">
        <v>47258</v>
      </c>
      <c r="B717" s="31" t="s">
        <v>1362</v>
      </c>
      <c r="C717" s="31" t="s">
        <v>262</v>
      </c>
      <c r="D717" s="31" t="s">
        <v>603</v>
      </c>
      <c r="E717" s="31" t="s">
        <v>729</v>
      </c>
      <c r="F717" s="32" t="s">
        <v>116</v>
      </c>
    </row>
    <row r="718" spans="1:6">
      <c r="A718" s="29">
        <v>47268</v>
      </c>
      <c r="B718" s="31" t="s">
        <v>263</v>
      </c>
      <c r="C718" s="31" t="s">
        <v>262</v>
      </c>
      <c r="D718" s="31" t="s">
        <v>260</v>
      </c>
      <c r="E718" s="31" t="s">
        <v>729</v>
      </c>
      <c r="F718" s="32" t="s">
        <v>116</v>
      </c>
    </row>
    <row r="719" spans="1:6">
      <c r="A719" s="29">
        <v>47288</v>
      </c>
      <c r="B719" s="31" t="s">
        <v>1363</v>
      </c>
      <c r="C719" s="31" t="s">
        <v>262</v>
      </c>
      <c r="D719" s="31" t="s">
        <v>260</v>
      </c>
      <c r="E719" s="31" t="s">
        <v>729</v>
      </c>
      <c r="F719" s="32" t="s">
        <v>116</v>
      </c>
    </row>
    <row r="720" spans="1:6">
      <c r="A720" s="29">
        <v>47460</v>
      </c>
      <c r="B720" s="31" t="s">
        <v>1364</v>
      </c>
      <c r="C720" s="31" t="s">
        <v>262</v>
      </c>
      <c r="D720" s="31" t="s">
        <v>391</v>
      </c>
      <c r="E720" s="31" t="s">
        <v>729</v>
      </c>
      <c r="F720" s="32" t="s">
        <v>176</v>
      </c>
    </row>
    <row r="721" spans="1:6">
      <c r="A721" s="29">
        <v>47541</v>
      </c>
      <c r="B721" s="31" t="s">
        <v>1365</v>
      </c>
      <c r="C721" s="31" t="s">
        <v>262</v>
      </c>
      <c r="D721" s="31" t="s">
        <v>603</v>
      </c>
      <c r="E721" s="31" t="s">
        <v>729</v>
      </c>
      <c r="F721" s="32" t="s">
        <v>116</v>
      </c>
    </row>
    <row r="722" spans="1:6">
      <c r="A722" s="29">
        <v>47545</v>
      </c>
      <c r="B722" s="31" t="s">
        <v>1366</v>
      </c>
      <c r="C722" s="31" t="s">
        <v>262</v>
      </c>
      <c r="D722" s="31" t="s">
        <v>260</v>
      </c>
      <c r="E722" s="31" t="s">
        <v>729</v>
      </c>
      <c r="F722" s="32" t="s">
        <v>176</v>
      </c>
    </row>
    <row r="723" spans="1:6">
      <c r="A723" s="29">
        <v>47551</v>
      </c>
      <c r="B723" s="31" t="s">
        <v>1367</v>
      </c>
      <c r="C723" s="31" t="s">
        <v>262</v>
      </c>
      <c r="D723" s="31" t="s">
        <v>260</v>
      </c>
      <c r="E723" s="31" t="s">
        <v>729</v>
      </c>
      <c r="F723" s="32" t="s">
        <v>176</v>
      </c>
    </row>
    <row r="724" spans="1:6">
      <c r="A724" s="29">
        <v>47555</v>
      </c>
      <c r="B724" s="31" t="s">
        <v>1368</v>
      </c>
      <c r="C724" s="31" t="s">
        <v>262</v>
      </c>
      <c r="D724" s="31" t="s">
        <v>260</v>
      </c>
      <c r="E724" s="31" t="s">
        <v>729</v>
      </c>
      <c r="F724" s="32" t="s">
        <v>176</v>
      </c>
    </row>
    <row r="725" spans="1:6">
      <c r="A725" s="29">
        <v>47570</v>
      </c>
      <c r="B725" s="31" t="s">
        <v>1369</v>
      </c>
      <c r="C725" s="31" t="s">
        <v>262</v>
      </c>
      <c r="D725" s="31" t="s">
        <v>260</v>
      </c>
      <c r="E725" s="31" t="s">
        <v>729</v>
      </c>
      <c r="F725" s="32" t="s">
        <v>125</v>
      </c>
    </row>
    <row r="726" spans="1:6">
      <c r="A726" s="29">
        <v>47605</v>
      </c>
      <c r="B726" s="31" t="s">
        <v>1370</v>
      </c>
      <c r="C726" s="31" t="s">
        <v>262</v>
      </c>
      <c r="D726" s="31" t="s">
        <v>603</v>
      </c>
      <c r="E726" s="31" t="s">
        <v>729</v>
      </c>
      <c r="F726" s="32" t="s">
        <v>116</v>
      </c>
    </row>
    <row r="727" spans="1:6">
      <c r="A727" s="29">
        <v>47660</v>
      </c>
      <c r="B727" s="31" t="s">
        <v>1371</v>
      </c>
      <c r="C727" s="31" t="s">
        <v>262</v>
      </c>
      <c r="D727" s="31" t="s">
        <v>260</v>
      </c>
      <c r="E727" s="31" t="s">
        <v>729</v>
      </c>
      <c r="F727" s="32" t="s">
        <v>176</v>
      </c>
    </row>
    <row r="728" spans="1:6">
      <c r="A728" s="29">
        <v>47692</v>
      </c>
      <c r="B728" s="31" t="s">
        <v>1372</v>
      </c>
      <c r="C728" s="31" t="s">
        <v>262</v>
      </c>
      <c r="D728" s="31" t="s">
        <v>260</v>
      </c>
      <c r="E728" s="31" t="s">
        <v>729</v>
      </c>
      <c r="F728" s="32" t="s">
        <v>176</v>
      </c>
    </row>
    <row r="729" spans="1:6">
      <c r="A729" s="29">
        <v>47703</v>
      </c>
      <c r="B729" s="31" t="s">
        <v>1373</v>
      </c>
      <c r="C729" s="31" t="s">
        <v>262</v>
      </c>
      <c r="D729" s="31" t="s">
        <v>260</v>
      </c>
      <c r="E729" s="31" t="s">
        <v>729</v>
      </c>
      <c r="F729" s="32" t="s">
        <v>176</v>
      </c>
    </row>
    <row r="730" spans="1:6">
      <c r="A730" s="29">
        <v>47707</v>
      </c>
      <c r="B730" s="31" t="s">
        <v>1374</v>
      </c>
      <c r="C730" s="31" t="s">
        <v>262</v>
      </c>
      <c r="D730" s="31" t="s">
        <v>260</v>
      </c>
      <c r="E730" s="31" t="s">
        <v>729</v>
      </c>
      <c r="F730" s="32" t="s">
        <v>176</v>
      </c>
    </row>
    <row r="731" spans="1:6">
      <c r="A731" s="29">
        <v>47720</v>
      </c>
      <c r="B731" s="31" t="s">
        <v>1375</v>
      </c>
      <c r="C731" s="31" t="s">
        <v>262</v>
      </c>
      <c r="D731" s="31" t="s">
        <v>260</v>
      </c>
      <c r="E731" s="31" t="s">
        <v>729</v>
      </c>
      <c r="F731" s="32" t="s">
        <v>176</v>
      </c>
    </row>
    <row r="732" spans="1:6">
      <c r="A732" s="29">
        <v>47001</v>
      </c>
      <c r="B732" s="31" t="s">
        <v>260</v>
      </c>
      <c r="C732" s="31" t="s">
        <v>262</v>
      </c>
      <c r="D732" s="31" t="s">
        <v>260</v>
      </c>
      <c r="E732" s="31" t="s">
        <v>729</v>
      </c>
      <c r="F732" s="32" t="s">
        <v>104</v>
      </c>
    </row>
    <row r="733" spans="1:6">
      <c r="A733" s="29">
        <v>47745</v>
      </c>
      <c r="B733" s="31" t="s">
        <v>1376</v>
      </c>
      <c r="C733" s="31" t="s">
        <v>262</v>
      </c>
      <c r="D733" s="31" t="s">
        <v>603</v>
      </c>
      <c r="E733" s="31" t="s">
        <v>729</v>
      </c>
      <c r="F733" s="32" t="s">
        <v>125</v>
      </c>
    </row>
    <row r="734" spans="1:6">
      <c r="A734" s="29">
        <v>47798</v>
      </c>
      <c r="B734" s="31" t="s">
        <v>1377</v>
      </c>
      <c r="C734" s="31" t="s">
        <v>262</v>
      </c>
      <c r="D734" s="31" t="s">
        <v>260</v>
      </c>
      <c r="E734" s="31" t="s">
        <v>729</v>
      </c>
      <c r="F734" s="32" t="s">
        <v>176</v>
      </c>
    </row>
    <row r="735" spans="1:6">
      <c r="A735" s="29">
        <v>47960</v>
      </c>
      <c r="B735" s="31" t="s">
        <v>1378</v>
      </c>
      <c r="C735" s="31" t="s">
        <v>262</v>
      </c>
      <c r="D735" s="31" t="s">
        <v>603</v>
      </c>
      <c r="E735" s="31" t="s">
        <v>799</v>
      </c>
      <c r="F735" s="32" t="s">
        <v>93</v>
      </c>
    </row>
    <row r="736" spans="1:6">
      <c r="A736" s="29">
        <v>47980</v>
      </c>
      <c r="B736" s="31" t="s">
        <v>1379</v>
      </c>
      <c r="C736" s="31" t="s">
        <v>262</v>
      </c>
      <c r="D736" s="31" t="s">
        <v>260</v>
      </c>
      <c r="E736" s="31" t="s">
        <v>729</v>
      </c>
      <c r="F736" s="32" t="s">
        <v>125</v>
      </c>
    </row>
    <row r="737" spans="1:6">
      <c r="A737" s="29">
        <v>50313</v>
      </c>
      <c r="B737" s="30" t="s">
        <v>736</v>
      </c>
      <c r="C737" s="31" t="s">
        <v>108</v>
      </c>
      <c r="D737" s="31" t="s">
        <v>106</v>
      </c>
      <c r="E737" s="31" t="s">
        <v>729</v>
      </c>
      <c r="F737" s="32" t="s">
        <v>125</v>
      </c>
    </row>
    <row r="738" spans="1:6">
      <c r="A738" s="29">
        <v>50318</v>
      </c>
      <c r="B738" s="30" t="s">
        <v>1355</v>
      </c>
      <c r="C738" s="31" t="s">
        <v>108</v>
      </c>
      <c r="D738" s="31" t="s">
        <v>106</v>
      </c>
      <c r="E738" s="31" t="s">
        <v>729</v>
      </c>
      <c r="F738" s="32" t="s">
        <v>125</v>
      </c>
    </row>
    <row r="739" spans="1:6">
      <c r="A739" s="29">
        <v>50590</v>
      </c>
      <c r="B739" s="30" t="s">
        <v>290</v>
      </c>
      <c r="C739" s="31" t="s">
        <v>108</v>
      </c>
      <c r="D739" s="31" t="s">
        <v>106</v>
      </c>
      <c r="E739" s="31" t="s">
        <v>729</v>
      </c>
      <c r="F739" s="32" t="s">
        <v>176</v>
      </c>
    </row>
    <row r="740" spans="1:6">
      <c r="A740" s="29">
        <v>50606</v>
      </c>
      <c r="B740" s="30" t="s">
        <v>1380</v>
      </c>
      <c r="C740" s="31" t="s">
        <v>108</v>
      </c>
      <c r="D740" s="31" t="s">
        <v>106</v>
      </c>
      <c r="E740" s="31" t="s">
        <v>729</v>
      </c>
      <c r="F740" s="32" t="s">
        <v>125</v>
      </c>
    </row>
    <row r="741" spans="1:6">
      <c r="A741" s="29">
        <v>50689</v>
      </c>
      <c r="B741" s="30" t="s">
        <v>1121</v>
      </c>
      <c r="C741" s="31" t="s">
        <v>108</v>
      </c>
      <c r="D741" s="31" t="s">
        <v>106</v>
      </c>
      <c r="E741" s="31" t="s">
        <v>729</v>
      </c>
      <c r="F741" s="32" t="s">
        <v>125</v>
      </c>
    </row>
    <row r="742" spans="1:6">
      <c r="A742" s="29">
        <v>50006</v>
      </c>
      <c r="B742" s="31" t="s">
        <v>1381</v>
      </c>
      <c r="C742" s="31" t="s">
        <v>108</v>
      </c>
      <c r="D742" s="31" t="s">
        <v>106</v>
      </c>
      <c r="E742" s="31" t="s">
        <v>729</v>
      </c>
      <c r="F742" s="32" t="s">
        <v>125</v>
      </c>
    </row>
    <row r="743" spans="1:6">
      <c r="A743" s="29">
        <v>50110</v>
      </c>
      <c r="B743" s="31" t="s">
        <v>1382</v>
      </c>
      <c r="C743" s="31" t="s">
        <v>108</v>
      </c>
      <c r="D743" s="31" t="s">
        <v>106</v>
      </c>
      <c r="E743" s="31" t="s">
        <v>729</v>
      </c>
      <c r="F743" s="32" t="s">
        <v>125</v>
      </c>
    </row>
    <row r="744" spans="1:6">
      <c r="A744" s="29">
        <v>50124</v>
      </c>
      <c r="B744" s="31" t="s">
        <v>1383</v>
      </c>
      <c r="C744" s="31" t="s">
        <v>108</v>
      </c>
      <c r="D744" s="31" t="s">
        <v>106</v>
      </c>
      <c r="E744" s="31" t="s">
        <v>729</v>
      </c>
      <c r="F744" s="32" t="s">
        <v>116</v>
      </c>
    </row>
    <row r="745" spans="1:6">
      <c r="A745" s="29">
        <v>50150</v>
      </c>
      <c r="B745" s="31" t="s">
        <v>1384</v>
      </c>
      <c r="C745" s="31" t="s">
        <v>108</v>
      </c>
      <c r="D745" s="31" t="s">
        <v>106</v>
      </c>
      <c r="E745" s="31" t="s">
        <v>729</v>
      </c>
      <c r="F745" s="32" t="s">
        <v>125</v>
      </c>
    </row>
    <row r="746" spans="1:6">
      <c r="A746" s="29">
        <v>50223</v>
      </c>
      <c r="B746" s="31" t="s">
        <v>1385</v>
      </c>
      <c r="C746" s="31" t="s">
        <v>108</v>
      </c>
      <c r="D746" s="31" t="s">
        <v>106</v>
      </c>
      <c r="E746" s="31" t="s">
        <v>729</v>
      </c>
      <c r="F746" s="32" t="s">
        <v>125</v>
      </c>
    </row>
    <row r="747" spans="1:6">
      <c r="A747" s="29">
        <v>50226</v>
      </c>
      <c r="B747" s="31" t="s">
        <v>1386</v>
      </c>
      <c r="C747" s="31" t="s">
        <v>108</v>
      </c>
      <c r="D747" s="31" t="s">
        <v>106</v>
      </c>
      <c r="E747" s="31" t="s">
        <v>729</v>
      </c>
      <c r="F747" s="32" t="s">
        <v>125</v>
      </c>
    </row>
    <row r="748" spans="1:6">
      <c r="A748" s="29">
        <v>50245</v>
      </c>
      <c r="B748" s="31" t="s">
        <v>1387</v>
      </c>
      <c r="C748" s="31" t="s">
        <v>108</v>
      </c>
      <c r="D748" s="31" t="s">
        <v>106</v>
      </c>
      <c r="E748" s="31" t="s">
        <v>729</v>
      </c>
      <c r="F748" s="32" t="s">
        <v>176</v>
      </c>
    </row>
    <row r="749" spans="1:6">
      <c r="A749" s="29">
        <v>50251</v>
      </c>
      <c r="B749" s="31" t="s">
        <v>1388</v>
      </c>
      <c r="C749" s="31" t="s">
        <v>108</v>
      </c>
      <c r="D749" s="31" t="s">
        <v>106</v>
      </c>
      <c r="E749" s="31" t="s">
        <v>729</v>
      </c>
      <c r="F749" s="32" t="s">
        <v>125</v>
      </c>
    </row>
    <row r="750" spans="1:6">
      <c r="A750" s="29">
        <v>50270</v>
      </c>
      <c r="B750" s="31" t="s">
        <v>1389</v>
      </c>
      <c r="C750" s="31" t="s">
        <v>108</v>
      </c>
      <c r="D750" s="31" t="s">
        <v>106</v>
      </c>
      <c r="E750" s="31" t="s">
        <v>729</v>
      </c>
      <c r="F750" s="32" t="s">
        <v>125</v>
      </c>
    </row>
    <row r="751" spans="1:6">
      <c r="A751" s="29">
        <v>50287</v>
      </c>
      <c r="B751" s="31" t="s">
        <v>1390</v>
      </c>
      <c r="C751" s="31" t="s">
        <v>108</v>
      </c>
      <c r="D751" s="31" t="s">
        <v>106</v>
      </c>
      <c r="E751" s="31" t="s">
        <v>729</v>
      </c>
      <c r="F751" s="32" t="s">
        <v>116</v>
      </c>
    </row>
    <row r="752" spans="1:6">
      <c r="A752" s="29">
        <v>50350</v>
      </c>
      <c r="B752" s="31" t="s">
        <v>1391</v>
      </c>
      <c r="C752" s="31" t="s">
        <v>108</v>
      </c>
      <c r="D752" s="31" t="s">
        <v>106</v>
      </c>
      <c r="E752" s="31" t="s">
        <v>717</v>
      </c>
      <c r="F752" s="32" t="s">
        <v>93</v>
      </c>
    </row>
    <row r="753" spans="1:6">
      <c r="A753" s="29">
        <v>50400</v>
      </c>
      <c r="B753" s="31" t="s">
        <v>1392</v>
      </c>
      <c r="C753" s="31" t="s">
        <v>108</v>
      </c>
      <c r="D753" s="31" t="s">
        <v>106</v>
      </c>
      <c r="E753" s="31" t="s">
        <v>729</v>
      </c>
      <c r="F753" s="32" t="s">
        <v>116</v>
      </c>
    </row>
    <row r="754" spans="1:6">
      <c r="A754" s="29">
        <v>50325</v>
      </c>
      <c r="B754" s="31" t="s">
        <v>1393</v>
      </c>
      <c r="C754" s="31" t="s">
        <v>108</v>
      </c>
      <c r="D754" s="31" t="s">
        <v>106</v>
      </c>
      <c r="E754" s="31" t="s">
        <v>717</v>
      </c>
      <c r="F754" s="32" t="s">
        <v>93</v>
      </c>
    </row>
    <row r="755" spans="1:6">
      <c r="A755" s="29">
        <v>50330</v>
      </c>
      <c r="B755" s="31" t="s">
        <v>1394</v>
      </c>
      <c r="C755" s="31" t="s">
        <v>108</v>
      </c>
      <c r="D755" s="31" t="s">
        <v>106</v>
      </c>
      <c r="E755" s="31" t="s">
        <v>729</v>
      </c>
      <c r="F755" s="32" t="s">
        <v>116</v>
      </c>
    </row>
    <row r="756" spans="1:6">
      <c r="A756" s="29">
        <v>50450</v>
      </c>
      <c r="B756" s="31" t="s">
        <v>1395</v>
      </c>
      <c r="C756" s="31" t="s">
        <v>108</v>
      </c>
      <c r="D756" s="31" t="s">
        <v>106</v>
      </c>
      <c r="E756" s="31" t="s">
        <v>729</v>
      </c>
      <c r="F756" s="32" t="s">
        <v>176</v>
      </c>
    </row>
    <row r="757" spans="1:6">
      <c r="A757" s="29">
        <v>50568</v>
      </c>
      <c r="B757" s="31" t="s">
        <v>109</v>
      </c>
      <c r="C757" s="31" t="s">
        <v>108</v>
      </c>
      <c r="D757" s="31" t="s">
        <v>106</v>
      </c>
      <c r="E757" s="31" t="s">
        <v>729</v>
      </c>
      <c r="F757" s="32" t="s">
        <v>116</v>
      </c>
    </row>
    <row r="758" spans="1:6">
      <c r="A758" s="29">
        <v>50577</v>
      </c>
      <c r="B758" s="31" t="s">
        <v>1396</v>
      </c>
      <c r="C758" s="31" t="s">
        <v>108</v>
      </c>
      <c r="D758" s="31" t="s">
        <v>106</v>
      </c>
      <c r="E758" s="31" t="s">
        <v>729</v>
      </c>
      <c r="F758" s="32" t="s">
        <v>116</v>
      </c>
    </row>
    <row r="759" spans="1:6">
      <c r="A759" s="29">
        <v>50573</v>
      </c>
      <c r="B759" s="31" t="s">
        <v>1397</v>
      </c>
      <c r="C759" s="31" t="s">
        <v>108</v>
      </c>
      <c r="D759" s="31" t="s">
        <v>106</v>
      </c>
      <c r="E759" s="31" t="s">
        <v>729</v>
      </c>
      <c r="F759" s="32" t="s">
        <v>125</v>
      </c>
    </row>
    <row r="760" spans="1:6">
      <c r="A760" s="29">
        <v>50680</v>
      </c>
      <c r="B760" s="31" t="s">
        <v>1398</v>
      </c>
      <c r="C760" s="31" t="s">
        <v>108</v>
      </c>
      <c r="D760" s="31" t="s">
        <v>106</v>
      </c>
      <c r="E760" s="31" t="s">
        <v>729</v>
      </c>
      <c r="F760" s="32" t="s">
        <v>125</v>
      </c>
    </row>
    <row r="761" spans="1:6">
      <c r="A761" s="29">
        <v>50683</v>
      </c>
      <c r="B761" s="31" t="s">
        <v>1399</v>
      </c>
      <c r="C761" s="31" t="s">
        <v>108</v>
      </c>
      <c r="D761" s="31" t="s">
        <v>106</v>
      </c>
      <c r="E761" s="31" t="s">
        <v>729</v>
      </c>
      <c r="F761" s="32" t="s">
        <v>116</v>
      </c>
    </row>
    <row r="762" spans="1:6">
      <c r="A762" s="29">
        <v>50686</v>
      </c>
      <c r="B762" s="31" t="s">
        <v>1400</v>
      </c>
      <c r="C762" s="31" t="s">
        <v>108</v>
      </c>
      <c r="D762" s="31" t="s">
        <v>106</v>
      </c>
      <c r="E762" s="31" t="s">
        <v>729</v>
      </c>
      <c r="F762" s="32" t="s">
        <v>176</v>
      </c>
    </row>
    <row r="763" spans="1:6">
      <c r="A763" s="29">
        <v>50370</v>
      </c>
      <c r="B763" s="31" t="s">
        <v>1401</v>
      </c>
      <c r="C763" s="31" t="s">
        <v>108</v>
      </c>
      <c r="D763" s="31" t="s">
        <v>106</v>
      </c>
      <c r="E763" s="31" t="s">
        <v>717</v>
      </c>
      <c r="F763" s="32" t="s">
        <v>93</v>
      </c>
    </row>
    <row r="764" spans="1:6">
      <c r="A764" s="29">
        <v>50001</v>
      </c>
      <c r="B764" s="31" t="s">
        <v>106</v>
      </c>
      <c r="C764" s="31" t="s">
        <v>108</v>
      </c>
      <c r="D764" s="31" t="s">
        <v>106</v>
      </c>
      <c r="E764" s="31" t="s">
        <v>729</v>
      </c>
      <c r="F764" s="32" t="s">
        <v>104</v>
      </c>
    </row>
    <row r="765" spans="1:6">
      <c r="A765" s="29">
        <v>50711</v>
      </c>
      <c r="B765" s="31" t="s">
        <v>1402</v>
      </c>
      <c r="C765" s="31" t="s">
        <v>108</v>
      </c>
      <c r="D765" s="31" t="s">
        <v>106</v>
      </c>
      <c r="E765" s="31" t="s">
        <v>729</v>
      </c>
      <c r="F765" s="32" t="s">
        <v>116</v>
      </c>
    </row>
    <row r="766" spans="1:6">
      <c r="A766" s="29">
        <v>52019</v>
      </c>
      <c r="B766" s="30" t="s">
        <v>1195</v>
      </c>
      <c r="C766" s="31" t="s">
        <v>241</v>
      </c>
      <c r="D766" s="31" t="s">
        <v>239</v>
      </c>
      <c r="E766" s="31" t="s">
        <v>729</v>
      </c>
      <c r="F766" s="32" t="s">
        <v>125</v>
      </c>
    </row>
    <row r="767" spans="1:6">
      <c r="A767" s="29">
        <v>52083</v>
      </c>
      <c r="B767" s="30" t="s">
        <v>242</v>
      </c>
      <c r="C767" s="31" t="s">
        <v>241</v>
      </c>
      <c r="D767" s="31" t="s">
        <v>239</v>
      </c>
      <c r="E767" s="31" t="s">
        <v>729</v>
      </c>
      <c r="F767" s="32" t="s">
        <v>116</v>
      </c>
    </row>
    <row r="768" spans="1:6">
      <c r="A768" s="29">
        <v>52203</v>
      </c>
      <c r="B768" s="30" t="s">
        <v>323</v>
      </c>
      <c r="C768" s="31" t="s">
        <v>241</v>
      </c>
      <c r="D768" s="31" t="s">
        <v>239</v>
      </c>
      <c r="E768" s="31" t="s">
        <v>729</v>
      </c>
      <c r="F768" s="32" t="s">
        <v>176</v>
      </c>
    </row>
    <row r="769" spans="1:6">
      <c r="A769" s="29">
        <v>52215</v>
      </c>
      <c r="B769" s="30" t="s">
        <v>340</v>
      </c>
      <c r="C769" s="31" t="s">
        <v>241</v>
      </c>
      <c r="D769" s="31" t="s">
        <v>239</v>
      </c>
      <c r="E769" s="31" t="s">
        <v>729</v>
      </c>
      <c r="F769" s="32" t="s">
        <v>125</v>
      </c>
    </row>
    <row r="770" spans="1:6">
      <c r="A770" s="29">
        <v>52260</v>
      </c>
      <c r="B770" s="30" t="s">
        <v>1085</v>
      </c>
      <c r="C770" s="31" t="s">
        <v>241</v>
      </c>
      <c r="D770" s="31" t="s">
        <v>239</v>
      </c>
      <c r="E770" s="31" t="s">
        <v>729</v>
      </c>
      <c r="F770" s="32" t="s">
        <v>125</v>
      </c>
    </row>
    <row r="771" spans="1:6">
      <c r="A771" s="29">
        <v>52399</v>
      </c>
      <c r="B771" s="30" t="s">
        <v>739</v>
      </c>
      <c r="C771" s="31" t="s">
        <v>241</v>
      </c>
      <c r="D771" s="31" t="s">
        <v>239</v>
      </c>
      <c r="E771" s="31" t="s">
        <v>729</v>
      </c>
      <c r="F771" s="32" t="s">
        <v>116</v>
      </c>
    </row>
    <row r="772" spans="1:6">
      <c r="A772" s="29">
        <v>52473</v>
      </c>
      <c r="B772" s="30" t="s">
        <v>1197</v>
      </c>
      <c r="C772" s="31" t="s">
        <v>241</v>
      </c>
      <c r="D772" s="31" t="s">
        <v>239</v>
      </c>
      <c r="E772" s="31" t="s">
        <v>729</v>
      </c>
      <c r="F772" s="32" t="s">
        <v>176</v>
      </c>
    </row>
    <row r="773" spans="1:6">
      <c r="A773" s="29">
        <v>52480</v>
      </c>
      <c r="B773" s="30" t="s">
        <v>241</v>
      </c>
      <c r="C773" s="31" t="s">
        <v>241</v>
      </c>
      <c r="D773" s="31" t="s">
        <v>239</v>
      </c>
      <c r="E773" s="31" t="s">
        <v>729</v>
      </c>
      <c r="F773" s="32" t="s">
        <v>125</v>
      </c>
    </row>
    <row r="774" spans="1:6">
      <c r="A774" s="29">
        <v>52565</v>
      </c>
      <c r="B774" s="30" t="s">
        <v>1403</v>
      </c>
      <c r="C774" s="31" t="s">
        <v>241</v>
      </c>
      <c r="D774" s="31" t="s">
        <v>239</v>
      </c>
      <c r="E774" s="31" t="s">
        <v>729</v>
      </c>
      <c r="F774" s="32" t="s">
        <v>116</v>
      </c>
    </row>
    <row r="775" spans="1:6">
      <c r="A775" s="29">
        <v>52612</v>
      </c>
      <c r="B775" s="30" t="s">
        <v>1198</v>
      </c>
      <c r="C775" s="31" t="s">
        <v>241</v>
      </c>
      <c r="D775" s="31" t="s">
        <v>239</v>
      </c>
      <c r="E775" s="31" t="s">
        <v>729</v>
      </c>
      <c r="F775" s="32" t="s">
        <v>116</v>
      </c>
    </row>
    <row r="776" spans="1:6">
      <c r="A776" s="29">
        <v>52685</v>
      </c>
      <c r="B776" s="30" t="s">
        <v>1199</v>
      </c>
      <c r="C776" s="31" t="s">
        <v>241</v>
      </c>
      <c r="D776" s="31" t="s">
        <v>239</v>
      </c>
      <c r="E776" s="31" t="s">
        <v>729</v>
      </c>
      <c r="F776" s="32" t="s">
        <v>125</v>
      </c>
    </row>
    <row r="777" spans="1:6">
      <c r="A777" s="29">
        <v>52693</v>
      </c>
      <c r="B777" s="30" t="s">
        <v>870</v>
      </c>
      <c r="C777" s="31" t="s">
        <v>241</v>
      </c>
      <c r="D777" s="31" t="s">
        <v>239</v>
      </c>
      <c r="E777" s="31" t="s">
        <v>729</v>
      </c>
      <c r="F777" s="32" t="s">
        <v>176</v>
      </c>
    </row>
    <row r="778" spans="1:6">
      <c r="A778" s="29">
        <v>52696</v>
      </c>
      <c r="B778" s="30" t="s">
        <v>745</v>
      </c>
      <c r="C778" s="31" t="s">
        <v>241</v>
      </c>
      <c r="D778" s="31" t="s">
        <v>239</v>
      </c>
      <c r="E778" s="31" t="s">
        <v>871</v>
      </c>
      <c r="F778" s="32" t="s">
        <v>93</v>
      </c>
    </row>
    <row r="779" spans="1:6">
      <c r="A779" s="29">
        <v>52022</v>
      </c>
      <c r="B779" s="31" t="s">
        <v>1404</v>
      </c>
      <c r="C779" s="31" t="s">
        <v>241</v>
      </c>
      <c r="D779" s="31" t="s">
        <v>239</v>
      </c>
      <c r="E779" s="31" t="s">
        <v>729</v>
      </c>
      <c r="F779" s="32" t="s">
        <v>125</v>
      </c>
    </row>
    <row r="780" spans="1:6">
      <c r="A780" s="29">
        <v>52036</v>
      </c>
      <c r="B780" s="31" t="s">
        <v>1405</v>
      </c>
      <c r="C780" s="31" t="s">
        <v>241</v>
      </c>
      <c r="D780" s="31" t="s">
        <v>239</v>
      </c>
      <c r="E780" s="31" t="s">
        <v>729</v>
      </c>
      <c r="F780" s="32" t="s">
        <v>125</v>
      </c>
    </row>
    <row r="781" spans="1:6">
      <c r="A781" s="29">
        <v>52051</v>
      </c>
      <c r="B781" s="31" t="s">
        <v>461</v>
      </c>
      <c r="C781" s="31" t="s">
        <v>241</v>
      </c>
      <c r="D781" s="31" t="s">
        <v>239</v>
      </c>
      <c r="E781" s="31" t="s">
        <v>729</v>
      </c>
      <c r="F781" s="32" t="s">
        <v>125</v>
      </c>
    </row>
    <row r="782" spans="1:6">
      <c r="A782" s="29">
        <v>52079</v>
      </c>
      <c r="B782" s="31" t="s">
        <v>1406</v>
      </c>
      <c r="C782" s="31" t="s">
        <v>241</v>
      </c>
      <c r="D782" s="31" t="s">
        <v>239</v>
      </c>
      <c r="E782" s="31" t="s">
        <v>729</v>
      </c>
      <c r="F782" s="32" t="s">
        <v>176</v>
      </c>
    </row>
    <row r="783" spans="1:6">
      <c r="A783" s="29">
        <v>52110</v>
      </c>
      <c r="B783" s="31" t="s">
        <v>1407</v>
      </c>
      <c r="C783" s="31" t="s">
        <v>241</v>
      </c>
      <c r="D783" s="31" t="s">
        <v>239</v>
      </c>
      <c r="E783" s="31" t="s">
        <v>729</v>
      </c>
      <c r="F783" s="32" t="s">
        <v>125</v>
      </c>
    </row>
    <row r="784" spans="1:6">
      <c r="A784" s="29">
        <v>52240</v>
      </c>
      <c r="B784" s="31" t="s">
        <v>1408</v>
      </c>
      <c r="C784" s="31" t="s">
        <v>241</v>
      </c>
      <c r="D784" s="31" t="s">
        <v>239</v>
      </c>
      <c r="E784" s="31" t="s">
        <v>729</v>
      </c>
      <c r="F784" s="32" t="s">
        <v>125</v>
      </c>
    </row>
    <row r="785" spans="1:6">
      <c r="A785" s="29">
        <v>52207</v>
      </c>
      <c r="B785" s="31" t="s">
        <v>1409</v>
      </c>
      <c r="C785" s="31" t="s">
        <v>241</v>
      </c>
      <c r="D785" s="31" t="s">
        <v>239</v>
      </c>
      <c r="E785" s="31" t="s">
        <v>729</v>
      </c>
      <c r="F785" s="32" t="s">
        <v>125</v>
      </c>
    </row>
    <row r="786" spans="1:6">
      <c r="A786" s="29">
        <v>52210</v>
      </c>
      <c r="B786" s="31" t="s">
        <v>1410</v>
      </c>
      <c r="C786" s="31" t="s">
        <v>241</v>
      </c>
      <c r="D786" s="31" t="s">
        <v>239</v>
      </c>
      <c r="E786" s="31" t="s">
        <v>729</v>
      </c>
      <c r="F786" s="32" t="s">
        <v>125</v>
      </c>
    </row>
    <row r="787" spans="1:6">
      <c r="A787" s="29">
        <v>52224</v>
      </c>
      <c r="B787" s="31" t="s">
        <v>1411</v>
      </c>
      <c r="C787" s="31" t="s">
        <v>241</v>
      </c>
      <c r="D787" s="31" t="s">
        <v>239</v>
      </c>
      <c r="E787" s="31" t="s">
        <v>729</v>
      </c>
      <c r="F787" s="32" t="s">
        <v>125</v>
      </c>
    </row>
    <row r="788" spans="1:6">
      <c r="A788" s="29">
        <v>52227</v>
      </c>
      <c r="B788" s="31" t="s">
        <v>1412</v>
      </c>
      <c r="C788" s="31" t="s">
        <v>241</v>
      </c>
      <c r="D788" s="31" t="s">
        <v>239</v>
      </c>
      <c r="E788" s="31" t="s">
        <v>729</v>
      </c>
      <c r="F788" s="32" t="s">
        <v>116</v>
      </c>
    </row>
    <row r="789" spans="1:6">
      <c r="A789" s="29">
        <v>52233</v>
      </c>
      <c r="B789" s="31" t="s">
        <v>1413</v>
      </c>
      <c r="C789" s="31" t="s">
        <v>241</v>
      </c>
      <c r="D789" s="31" t="s">
        <v>239</v>
      </c>
      <c r="E789" s="31" t="s">
        <v>729</v>
      </c>
      <c r="F789" s="32" t="s">
        <v>125</v>
      </c>
    </row>
    <row r="790" spans="1:6">
      <c r="A790" s="29">
        <v>52250</v>
      </c>
      <c r="B790" s="31" t="s">
        <v>1414</v>
      </c>
      <c r="C790" s="31" t="s">
        <v>241</v>
      </c>
      <c r="D790" s="31" t="s">
        <v>239</v>
      </c>
      <c r="E790" s="31" t="s">
        <v>799</v>
      </c>
      <c r="F790" s="32" t="s">
        <v>93</v>
      </c>
    </row>
    <row r="791" spans="1:6">
      <c r="A791" s="29">
        <v>52254</v>
      </c>
      <c r="B791" s="31" t="s">
        <v>1415</v>
      </c>
      <c r="C791" s="31" t="s">
        <v>241</v>
      </c>
      <c r="D791" s="31" t="s">
        <v>239</v>
      </c>
      <c r="E791" s="31" t="s">
        <v>729</v>
      </c>
      <c r="F791" s="32" t="s">
        <v>125</v>
      </c>
    </row>
    <row r="792" spans="1:6">
      <c r="A792" s="29">
        <v>52256</v>
      </c>
      <c r="B792" s="31" t="s">
        <v>1416</v>
      </c>
      <c r="C792" s="31" t="s">
        <v>241</v>
      </c>
      <c r="D792" s="31" t="s">
        <v>239</v>
      </c>
      <c r="E792" s="31" t="s">
        <v>729</v>
      </c>
      <c r="F792" s="32" t="s">
        <v>125</v>
      </c>
    </row>
    <row r="793" spans="1:6">
      <c r="A793" s="29">
        <v>52258</v>
      </c>
      <c r="B793" s="31" t="s">
        <v>1417</v>
      </c>
      <c r="C793" s="31" t="s">
        <v>241</v>
      </c>
      <c r="D793" s="31" t="s">
        <v>239</v>
      </c>
      <c r="E793" s="31" t="s">
        <v>729</v>
      </c>
      <c r="F793" s="32" t="s">
        <v>125</v>
      </c>
    </row>
    <row r="794" spans="1:6">
      <c r="A794" s="29">
        <v>52520</v>
      </c>
      <c r="B794" s="31" t="s">
        <v>1418</v>
      </c>
      <c r="C794" s="31" t="s">
        <v>241</v>
      </c>
      <c r="D794" s="31" t="s">
        <v>239</v>
      </c>
      <c r="E794" s="31" t="s">
        <v>799</v>
      </c>
      <c r="F794" s="32" t="s">
        <v>93</v>
      </c>
    </row>
    <row r="795" spans="1:6">
      <c r="A795" s="29">
        <v>52287</v>
      </c>
      <c r="B795" s="31" t="s">
        <v>1419</v>
      </c>
      <c r="C795" s="31" t="s">
        <v>241</v>
      </c>
      <c r="D795" s="31" t="s">
        <v>239</v>
      </c>
      <c r="E795" s="31" t="s">
        <v>729</v>
      </c>
      <c r="F795" s="32" t="s">
        <v>125</v>
      </c>
    </row>
    <row r="796" spans="1:6">
      <c r="A796" s="29">
        <v>52317</v>
      </c>
      <c r="B796" s="31" t="s">
        <v>1420</v>
      </c>
      <c r="C796" s="31" t="s">
        <v>241</v>
      </c>
      <c r="D796" s="31" t="s">
        <v>239</v>
      </c>
      <c r="E796" s="31" t="s">
        <v>729</v>
      </c>
      <c r="F796" s="32" t="s">
        <v>125</v>
      </c>
    </row>
    <row r="797" spans="1:6">
      <c r="A797" s="29">
        <v>52320</v>
      </c>
      <c r="B797" s="31" t="s">
        <v>1421</v>
      </c>
      <c r="C797" s="31" t="s">
        <v>241</v>
      </c>
      <c r="D797" s="31" t="s">
        <v>239</v>
      </c>
      <c r="E797" s="31" t="s">
        <v>729</v>
      </c>
      <c r="F797" s="32" t="s">
        <v>125</v>
      </c>
    </row>
    <row r="798" spans="1:6">
      <c r="A798" s="29">
        <v>52323</v>
      </c>
      <c r="B798" s="31" t="s">
        <v>328</v>
      </c>
      <c r="C798" s="31" t="s">
        <v>241</v>
      </c>
      <c r="D798" s="31" t="s">
        <v>239</v>
      </c>
      <c r="E798" s="31" t="s">
        <v>729</v>
      </c>
      <c r="F798" s="32" t="s">
        <v>125</v>
      </c>
    </row>
    <row r="799" spans="1:6">
      <c r="A799" s="29">
        <v>52352</v>
      </c>
      <c r="B799" s="31" t="s">
        <v>1422</v>
      </c>
      <c r="C799" s="31" t="s">
        <v>241</v>
      </c>
      <c r="D799" s="31" t="s">
        <v>239</v>
      </c>
      <c r="E799" s="31" t="s">
        <v>729</v>
      </c>
      <c r="F799" s="32" t="s">
        <v>125</v>
      </c>
    </row>
    <row r="800" spans="1:6">
      <c r="A800" s="29">
        <v>52354</v>
      </c>
      <c r="B800" s="31" t="s">
        <v>1423</v>
      </c>
      <c r="C800" s="31" t="s">
        <v>241</v>
      </c>
      <c r="D800" s="31" t="s">
        <v>239</v>
      </c>
      <c r="E800" s="31" t="s">
        <v>729</v>
      </c>
      <c r="F800" s="32" t="s">
        <v>125</v>
      </c>
    </row>
    <row r="801" spans="1:6">
      <c r="A801" s="29">
        <v>52356</v>
      </c>
      <c r="B801" s="31" t="s">
        <v>1424</v>
      </c>
      <c r="C801" s="31" t="s">
        <v>241</v>
      </c>
      <c r="D801" s="31" t="s">
        <v>239</v>
      </c>
      <c r="E801" s="31" t="s">
        <v>729</v>
      </c>
      <c r="F801" s="32" t="s">
        <v>125</v>
      </c>
    </row>
    <row r="802" spans="1:6">
      <c r="A802" s="29">
        <v>52378</v>
      </c>
      <c r="B802" s="31" t="s">
        <v>1425</v>
      </c>
      <c r="C802" s="31" t="s">
        <v>241</v>
      </c>
      <c r="D802" s="31" t="s">
        <v>239</v>
      </c>
      <c r="E802" s="31" t="s">
        <v>729</v>
      </c>
      <c r="F802" s="32" t="s">
        <v>116</v>
      </c>
    </row>
    <row r="803" spans="1:6">
      <c r="A803" s="29">
        <v>52381</v>
      </c>
      <c r="B803" s="31" t="s">
        <v>1426</v>
      </c>
      <c r="C803" s="31" t="s">
        <v>241</v>
      </c>
      <c r="D803" s="31" t="s">
        <v>239</v>
      </c>
      <c r="E803" s="31" t="s">
        <v>729</v>
      </c>
      <c r="F803" s="32" t="s">
        <v>125</v>
      </c>
    </row>
    <row r="804" spans="1:6">
      <c r="A804" s="29">
        <v>52385</v>
      </c>
      <c r="B804" s="31" t="s">
        <v>1427</v>
      </c>
      <c r="C804" s="31" t="s">
        <v>241</v>
      </c>
      <c r="D804" s="31" t="s">
        <v>239</v>
      </c>
      <c r="E804" s="31" t="s">
        <v>729</v>
      </c>
      <c r="F804" s="32" t="s">
        <v>176</v>
      </c>
    </row>
    <row r="805" spans="1:6">
      <c r="A805" s="29">
        <v>52390</v>
      </c>
      <c r="B805" s="31" t="s">
        <v>1428</v>
      </c>
      <c r="C805" s="31" t="s">
        <v>241</v>
      </c>
      <c r="D805" s="31" t="s">
        <v>239</v>
      </c>
      <c r="E805" s="31" t="s">
        <v>799</v>
      </c>
      <c r="F805" s="32" t="s">
        <v>93</v>
      </c>
    </row>
    <row r="806" spans="1:6">
      <c r="A806" s="29">
        <v>52405</v>
      </c>
      <c r="B806" s="31" t="s">
        <v>1429</v>
      </c>
      <c r="C806" s="31" t="s">
        <v>241</v>
      </c>
      <c r="D806" s="31" t="s">
        <v>239</v>
      </c>
      <c r="E806" s="31" t="s">
        <v>729</v>
      </c>
      <c r="F806" s="32" t="s">
        <v>116</v>
      </c>
    </row>
    <row r="807" spans="1:6">
      <c r="A807" s="29">
        <v>52411</v>
      </c>
      <c r="B807" s="31" t="s">
        <v>1430</v>
      </c>
      <c r="C807" s="31" t="s">
        <v>241</v>
      </c>
      <c r="D807" s="31" t="s">
        <v>239</v>
      </c>
      <c r="E807" s="31" t="s">
        <v>729</v>
      </c>
      <c r="F807" s="32" t="s">
        <v>116</v>
      </c>
    </row>
    <row r="808" spans="1:6">
      <c r="A808" s="29">
        <v>52418</v>
      </c>
      <c r="B808" s="31" t="s">
        <v>1431</v>
      </c>
      <c r="C808" s="31" t="s">
        <v>241</v>
      </c>
      <c r="D808" s="31" t="s">
        <v>239</v>
      </c>
      <c r="E808" s="31" t="s">
        <v>729</v>
      </c>
      <c r="F808" s="32" t="s">
        <v>116</v>
      </c>
    </row>
    <row r="809" spans="1:6">
      <c r="A809" s="29">
        <v>52427</v>
      </c>
      <c r="B809" s="31" t="s">
        <v>416</v>
      </c>
      <c r="C809" s="31" t="s">
        <v>241</v>
      </c>
      <c r="D809" s="31" t="s">
        <v>239</v>
      </c>
      <c r="E809" s="31" t="s">
        <v>799</v>
      </c>
      <c r="F809" s="32" t="s">
        <v>93</v>
      </c>
    </row>
    <row r="810" spans="1:6">
      <c r="A810" s="29">
        <v>52435</v>
      </c>
      <c r="B810" s="31" t="s">
        <v>1432</v>
      </c>
      <c r="C810" s="31" t="s">
        <v>241</v>
      </c>
      <c r="D810" s="31" t="s">
        <v>239</v>
      </c>
      <c r="E810" s="31" t="s">
        <v>729</v>
      </c>
      <c r="F810" s="32" t="s">
        <v>116</v>
      </c>
    </row>
    <row r="811" spans="1:6">
      <c r="A811" s="29">
        <v>52490</v>
      </c>
      <c r="B811" s="31" t="s">
        <v>1433</v>
      </c>
      <c r="C811" s="31" t="s">
        <v>241</v>
      </c>
      <c r="D811" s="31" t="s">
        <v>239</v>
      </c>
      <c r="E811" s="31" t="s">
        <v>799</v>
      </c>
      <c r="F811" s="32" t="s">
        <v>93</v>
      </c>
    </row>
    <row r="812" spans="1:6">
      <c r="A812" s="29">
        <v>52506</v>
      </c>
      <c r="B812" s="31" t="s">
        <v>1434</v>
      </c>
      <c r="C812" s="31" t="s">
        <v>241</v>
      </c>
      <c r="D812" s="31" t="s">
        <v>239</v>
      </c>
      <c r="E812" s="31" t="s">
        <v>729</v>
      </c>
      <c r="F812" s="32" t="s">
        <v>125</v>
      </c>
    </row>
    <row r="813" spans="1:6">
      <c r="A813" s="29">
        <v>52001</v>
      </c>
      <c r="B813" s="31" t="s">
        <v>239</v>
      </c>
      <c r="C813" s="31" t="s">
        <v>241</v>
      </c>
      <c r="D813" s="31" t="s">
        <v>239</v>
      </c>
      <c r="E813" s="31" t="s">
        <v>729</v>
      </c>
      <c r="F813" s="32" t="s">
        <v>104</v>
      </c>
    </row>
    <row r="814" spans="1:6">
      <c r="A814" s="29">
        <v>52540</v>
      </c>
      <c r="B814" s="31" t="s">
        <v>1435</v>
      </c>
      <c r="C814" s="31" t="s">
        <v>241</v>
      </c>
      <c r="D814" s="31" t="s">
        <v>239</v>
      </c>
      <c r="E814" s="31" t="s">
        <v>729</v>
      </c>
      <c r="F814" s="32" t="s">
        <v>176</v>
      </c>
    </row>
    <row r="815" spans="1:6">
      <c r="A815" s="29">
        <v>52560</v>
      </c>
      <c r="B815" s="31" t="s">
        <v>1436</v>
      </c>
      <c r="C815" s="31" t="s">
        <v>241</v>
      </c>
      <c r="D815" s="31" t="s">
        <v>239</v>
      </c>
      <c r="E815" s="31" t="s">
        <v>729</v>
      </c>
      <c r="F815" s="32" t="s">
        <v>125</v>
      </c>
    </row>
    <row r="816" spans="1:6">
      <c r="A816" s="29">
        <v>52573</v>
      </c>
      <c r="B816" s="31" t="s">
        <v>1437</v>
      </c>
      <c r="C816" s="31" t="s">
        <v>241</v>
      </c>
      <c r="D816" s="31" t="s">
        <v>239</v>
      </c>
      <c r="E816" s="31" t="s">
        <v>729</v>
      </c>
      <c r="F816" s="32" t="s">
        <v>125</v>
      </c>
    </row>
    <row r="817" spans="1:6">
      <c r="A817" s="29">
        <v>52585</v>
      </c>
      <c r="B817" s="31" t="s">
        <v>1438</v>
      </c>
      <c r="C817" s="31" t="s">
        <v>241</v>
      </c>
      <c r="D817" s="31" t="s">
        <v>239</v>
      </c>
      <c r="E817" s="31" t="s">
        <v>729</v>
      </c>
      <c r="F817" s="32" t="s">
        <v>125</v>
      </c>
    </row>
    <row r="818" spans="1:6">
      <c r="A818" s="29">
        <v>52621</v>
      </c>
      <c r="B818" s="31" t="s">
        <v>1439</v>
      </c>
      <c r="C818" s="31" t="s">
        <v>241</v>
      </c>
      <c r="D818" s="31" t="s">
        <v>239</v>
      </c>
      <c r="E818" s="31" t="s">
        <v>799</v>
      </c>
      <c r="F818" s="32" t="s">
        <v>93</v>
      </c>
    </row>
    <row r="819" spans="1:6">
      <c r="A819" s="29">
        <v>52678</v>
      </c>
      <c r="B819" s="31" t="s">
        <v>1440</v>
      </c>
      <c r="C819" s="31" t="s">
        <v>241</v>
      </c>
      <c r="D819" s="31" t="s">
        <v>239</v>
      </c>
      <c r="E819" s="31" t="s">
        <v>729</v>
      </c>
      <c r="F819" s="32" t="s">
        <v>116</v>
      </c>
    </row>
    <row r="820" spans="1:6">
      <c r="A820" s="29">
        <v>52835</v>
      </c>
      <c r="B820" s="31" t="s">
        <v>503</v>
      </c>
      <c r="C820" s="31" t="s">
        <v>241</v>
      </c>
      <c r="D820" s="31" t="s">
        <v>239</v>
      </c>
      <c r="E820" s="31" t="s">
        <v>729</v>
      </c>
      <c r="F820" s="32" t="s">
        <v>176</v>
      </c>
    </row>
    <row r="821" spans="1:6">
      <c r="A821" s="29">
        <v>52687</v>
      </c>
      <c r="B821" s="31" t="s">
        <v>1441</v>
      </c>
      <c r="C821" s="31" t="s">
        <v>241</v>
      </c>
      <c r="D821" s="31" t="s">
        <v>239</v>
      </c>
      <c r="E821" s="31" t="s">
        <v>729</v>
      </c>
      <c r="F821" s="32" t="s">
        <v>125</v>
      </c>
    </row>
    <row r="822" spans="1:6">
      <c r="A822" s="29">
        <v>52694</v>
      </c>
      <c r="B822" s="31" t="s">
        <v>1442</v>
      </c>
      <c r="C822" s="31" t="s">
        <v>241</v>
      </c>
      <c r="D822" s="31" t="s">
        <v>239</v>
      </c>
      <c r="E822" s="31" t="s">
        <v>729</v>
      </c>
      <c r="F822" s="32" t="s">
        <v>125</v>
      </c>
    </row>
    <row r="823" spans="1:6">
      <c r="A823" s="29">
        <v>52683</v>
      </c>
      <c r="B823" s="31" t="s">
        <v>1443</v>
      </c>
      <c r="C823" s="31" t="s">
        <v>241</v>
      </c>
      <c r="D823" s="31" t="s">
        <v>239</v>
      </c>
      <c r="E823" s="31" t="s">
        <v>729</v>
      </c>
      <c r="F823" s="32" t="s">
        <v>125</v>
      </c>
    </row>
    <row r="824" spans="1:6">
      <c r="A824" s="29">
        <v>52699</v>
      </c>
      <c r="B824" s="31" t="s">
        <v>1444</v>
      </c>
      <c r="C824" s="31" t="s">
        <v>241</v>
      </c>
      <c r="D824" s="31" t="s">
        <v>239</v>
      </c>
      <c r="E824" s="31" t="s">
        <v>729</v>
      </c>
      <c r="F824" s="32" t="s">
        <v>176</v>
      </c>
    </row>
    <row r="825" spans="1:6">
      <c r="A825" s="29">
        <v>52720</v>
      </c>
      <c r="B825" s="31" t="s">
        <v>1445</v>
      </c>
      <c r="C825" s="31" t="s">
        <v>241</v>
      </c>
      <c r="D825" s="31" t="s">
        <v>239</v>
      </c>
      <c r="E825" s="31" t="s">
        <v>729</v>
      </c>
      <c r="F825" s="32" t="s">
        <v>125</v>
      </c>
    </row>
    <row r="826" spans="1:6">
      <c r="A826" s="29">
        <v>52786</v>
      </c>
      <c r="B826" s="31" t="s">
        <v>1446</v>
      </c>
      <c r="C826" s="31" t="s">
        <v>241</v>
      </c>
      <c r="D826" s="31" t="s">
        <v>239</v>
      </c>
      <c r="E826" s="31" t="s">
        <v>729</v>
      </c>
      <c r="F826" s="32" t="s">
        <v>125</v>
      </c>
    </row>
    <row r="827" spans="1:6">
      <c r="A827" s="29">
        <v>52788</v>
      </c>
      <c r="B827" s="31" t="s">
        <v>1447</v>
      </c>
      <c r="C827" s="31" t="s">
        <v>241</v>
      </c>
      <c r="D827" s="31" t="s">
        <v>239</v>
      </c>
      <c r="E827" s="31" t="s">
        <v>729</v>
      </c>
      <c r="F827" s="32" t="s">
        <v>125</v>
      </c>
    </row>
    <row r="828" spans="1:6">
      <c r="A828" s="29">
        <v>52838</v>
      </c>
      <c r="B828" s="31" t="s">
        <v>1448</v>
      </c>
      <c r="C828" s="31" t="s">
        <v>241</v>
      </c>
      <c r="D828" s="31" t="s">
        <v>239</v>
      </c>
      <c r="E828" s="31" t="s">
        <v>729</v>
      </c>
      <c r="F828" s="32" t="s">
        <v>125</v>
      </c>
    </row>
    <row r="829" spans="1:6">
      <c r="A829" s="29">
        <v>52885</v>
      </c>
      <c r="B829" s="31" t="s">
        <v>1449</v>
      </c>
      <c r="C829" s="31" t="s">
        <v>241</v>
      </c>
      <c r="D829" s="31" t="s">
        <v>239</v>
      </c>
      <c r="E829" s="31" t="s">
        <v>729</v>
      </c>
      <c r="F829" s="32" t="s">
        <v>125</v>
      </c>
    </row>
    <row r="830" spans="1:6">
      <c r="A830" s="29">
        <v>54553</v>
      </c>
      <c r="B830" s="30" t="s">
        <v>718</v>
      </c>
      <c r="C830" s="31" t="s">
        <v>249</v>
      </c>
      <c r="D830" s="31" t="s">
        <v>247</v>
      </c>
      <c r="E830" s="31" t="s">
        <v>729</v>
      </c>
      <c r="F830" s="32" t="s">
        <v>125</v>
      </c>
    </row>
    <row r="831" spans="1:6">
      <c r="A831" s="29">
        <v>54673</v>
      </c>
      <c r="B831" s="30" t="s">
        <v>1200</v>
      </c>
      <c r="C831" s="31" t="s">
        <v>249</v>
      </c>
      <c r="D831" s="31" t="s">
        <v>247</v>
      </c>
      <c r="E831" s="31" t="s">
        <v>729</v>
      </c>
      <c r="F831" s="32" t="s">
        <v>125</v>
      </c>
    </row>
    <row r="832" spans="1:6">
      <c r="A832" s="29">
        <v>54680</v>
      </c>
      <c r="B832" s="30" t="s">
        <v>1450</v>
      </c>
      <c r="C832" s="31" t="s">
        <v>249</v>
      </c>
      <c r="D832" s="31" t="s">
        <v>247</v>
      </c>
      <c r="E832" s="31" t="s">
        <v>729</v>
      </c>
      <c r="F832" s="32" t="s">
        <v>125</v>
      </c>
    </row>
    <row r="833" spans="1:6">
      <c r="A833" s="29">
        <v>54820</v>
      </c>
      <c r="B833" s="30" t="s">
        <v>746</v>
      </c>
      <c r="C833" s="31" t="s">
        <v>249</v>
      </c>
      <c r="D833" s="31" t="s">
        <v>247</v>
      </c>
      <c r="E833" s="31" t="s">
        <v>729</v>
      </c>
      <c r="F833" s="32" t="s">
        <v>176</v>
      </c>
    </row>
    <row r="834" spans="1:6">
      <c r="A834" s="29">
        <v>54003</v>
      </c>
      <c r="B834" s="31" t="s">
        <v>1451</v>
      </c>
      <c r="C834" s="31" t="s">
        <v>249</v>
      </c>
      <c r="D834" s="31" t="s">
        <v>247</v>
      </c>
      <c r="E834" s="31" t="s">
        <v>729</v>
      </c>
      <c r="F834" s="32" t="s">
        <v>116</v>
      </c>
    </row>
    <row r="835" spans="1:6">
      <c r="A835" s="29">
        <v>54051</v>
      </c>
      <c r="B835" s="31" t="s">
        <v>1452</v>
      </c>
      <c r="C835" s="31" t="s">
        <v>249</v>
      </c>
      <c r="D835" s="31" t="s">
        <v>247</v>
      </c>
      <c r="E835" s="31" t="s">
        <v>729</v>
      </c>
      <c r="F835" s="32" t="s">
        <v>176</v>
      </c>
    </row>
    <row r="836" spans="1:6">
      <c r="A836" s="29">
        <v>54099</v>
      </c>
      <c r="B836" s="31" t="s">
        <v>1453</v>
      </c>
      <c r="C836" s="31" t="s">
        <v>249</v>
      </c>
      <c r="D836" s="31" t="s">
        <v>247</v>
      </c>
      <c r="E836" s="31" t="s">
        <v>729</v>
      </c>
      <c r="F836" s="32" t="s">
        <v>125</v>
      </c>
    </row>
    <row r="837" spans="1:6">
      <c r="A837" s="29">
        <v>54109</v>
      </c>
      <c r="B837" s="31" t="s">
        <v>1454</v>
      </c>
      <c r="C837" s="31" t="s">
        <v>249</v>
      </c>
      <c r="D837" s="31" t="s">
        <v>247</v>
      </c>
      <c r="E837" s="31" t="s">
        <v>729</v>
      </c>
      <c r="F837" s="32" t="s">
        <v>116</v>
      </c>
    </row>
    <row r="838" spans="1:6">
      <c r="A838" s="29">
        <v>54128</v>
      </c>
      <c r="B838" s="31" t="s">
        <v>1455</v>
      </c>
      <c r="C838" s="31" t="s">
        <v>249</v>
      </c>
      <c r="D838" s="31" t="s">
        <v>247</v>
      </c>
      <c r="E838" s="31" t="s">
        <v>729</v>
      </c>
      <c r="F838" s="32" t="s">
        <v>176</v>
      </c>
    </row>
    <row r="839" spans="1:6">
      <c r="A839" s="29">
        <v>54125</v>
      </c>
      <c r="B839" s="31" t="s">
        <v>1456</v>
      </c>
      <c r="C839" s="31" t="s">
        <v>249</v>
      </c>
      <c r="D839" s="31" t="s">
        <v>247</v>
      </c>
      <c r="E839" s="31" t="s">
        <v>729</v>
      </c>
      <c r="F839" s="32" t="s">
        <v>116</v>
      </c>
    </row>
    <row r="840" spans="1:6">
      <c r="A840" s="29">
        <v>54172</v>
      </c>
      <c r="B840" s="31" t="s">
        <v>1457</v>
      </c>
      <c r="C840" s="31" t="s">
        <v>249</v>
      </c>
      <c r="D840" s="31" t="s">
        <v>247</v>
      </c>
      <c r="E840" s="31" t="s">
        <v>729</v>
      </c>
      <c r="F840" s="32" t="s">
        <v>125</v>
      </c>
    </row>
    <row r="841" spans="1:6">
      <c r="A841" s="29">
        <v>54174</v>
      </c>
      <c r="B841" s="31" t="s">
        <v>1458</v>
      </c>
      <c r="C841" s="31" t="s">
        <v>249</v>
      </c>
      <c r="D841" s="31" t="s">
        <v>247</v>
      </c>
      <c r="E841" s="31" t="s">
        <v>729</v>
      </c>
      <c r="F841" s="32" t="s">
        <v>176</v>
      </c>
    </row>
    <row r="842" spans="1:6">
      <c r="A842" s="29">
        <v>54206</v>
      </c>
      <c r="B842" s="31" t="s">
        <v>1459</v>
      </c>
      <c r="C842" s="31" t="s">
        <v>249</v>
      </c>
      <c r="D842" s="31" t="s">
        <v>247</v>
      </c>
      <c r="E842" s="31" t="s">
        <v>729</v>
      </c>
      <c r="F842" s="32" t="s">
        <v>176</v>
      </c>
    </row>
    <row r="843" spans="1:6">
      <c r="A843" s="29">
        <v>54001</v>
      </c>
      <c r="B843" s="31" t="s">
        <v>247</v>
      </c>
      <c r="C843" s="31" t="s">
        <v>249</v>
      </c>
      <c r="D843" s="31" t="s">
        <v>247</v>
      </c>
      <c r="E843" s="31" t="s">
        <v>729</v>
      </c>
      <c r="F843" s="32" t="s">
        <v>104</v>
      </c>
    </row>
    <row r="844" spans="1:6">
      <c r="A844" s="29">
        <v>54223</v>
      </c>
      <c r="B844" s="31" t="s">
        <v>1460</v>
      </c>
      <c r="C844" s="31" t="s">
        <v>249</v>
      </c>
      <c r="D844" s="31" t="s">
        <v>247</v>
      </c>
      <c r="E844" s="31" t="s">
        <v>729</v>
      </c>
      <c r="F844" s="32" t="s">
        <v>176</v>
      </c>
    </row>
    <row r="845" spans="1:6">
      <c r="A845" s="29">
        <v>54239</v>
      </c>
      <c r="B845" s="31" t="s">
        <v>1461</v>
      </c>
      <c r="C845" s="31" t="s">
        <v>249</v>
      </c>
      <c r="D845" s="31" t="s">
        <v>247</v>
      </c>
      <c r="E845" s="31" t="s">
        <v>729</v>
      </c>
      <c r="F845" s="32" t="s">
        <v>125</v>
      </c>
    </row>
    <row r="846" spans="1:6">
      <c r="A846" s="29">
        <v>54245</v>
      </c>
      <c r="B846" s="31" t="s">
        <v>1462</v>
      </c>
      <c r="C846" s="31" t="s">
        <v>249</v>
      </c>
      <c r="D846" s="31" t="s">
        <v>247</v>
      </c>
      <c r="E846" s="31" t="s">
        <v>729</v>
      </c>
      <c r="F846" s="32" t="s">
        <v>176</v>
      </c>
    </row>
    <row r="847" spans="1:6">
      <c r="A847" s="29">
        <v>54250</v>
      </c>
      <c r="B847" s="31" t="s">
        <v>1463</v>
      </c>
      <c r="C847" s="31" t="s">
        <v>249</v>
      </c>
      <c r="D847" s="31" t="s">
        <v>247</v>
      </c>
      <c r="E847" s="31" t="s">
        <v>729</v>
      </c>
      <c r="F847" s="32" t="s">
        <v>176</v>
      </c>
    </row>
    <row r="848" spans="1:6">
      <c r="A848" s="29">
        <v>54261</v>
      </c>
      <c r="B848" s="31" t="s">
        <v>1464</v>
      </c>
      <c r="C848" s="31" t="s">
        <v>249</v>
      </c>
      <c r="D848" s="31" t="s">
        <v>247</v>
      </c>
      <c r="E848" s="31" t="s">
        <v>729</v>
      </c>
      <c r="F848" s="32" t="s">
        <v>125</v>
      </c>
    </row>
    <row r="849" spans="1:6">
      <c r="A849" s="29">
        <v>54313</v>
      </c>
      <c r="B849" s="31" t="s">
        <v>1465</v>
      </c>
      <c r="C849" s="31" t="s">
        <v>249</v>
      </c>
      <c r="D849" s="31" t="s">
        <v>247</v>
      </c>
      <c r="E849" s="31" t="s">
        <v>729</v>
      </c>
      <c r="F849" s="32" t="s">
        <v>125</v>
      </c>
    </row>
    <row r="850" spans="1:6">
      <c r="A850" s="29">
        <v>54344</v>
      </c>
      <c r="B850" s="31" t="s">
        <v>1466</v>
      </c>
      <c r="C850" s="31" t="s">
        <v>249</v>
      </c>
      <c r="D850" s="31" t="s">
        <v>247</v>
      </c>
      <c r="E850" s="31" t="s">
        <v>729</v>
      </c>
      <c r="F850" s="32" t="s">
        <v>176</v>
      </c>
    </row>
    <row r="851" spans="1:6">
      <c r="A851" s="29">
        <v>54347</v>
      </c>
      <c r="B851" s="31" t="s">
        <v>1467</v>
      </c>
      <c r="C851" s="31" t="s">
        <v>249</v>
      </c>
      <c r="D851" s="31" t="s">
        <v>247</v>
      </c>
      <c r="E851" s="31" t="s">
        <v>729</v>
      </c>
      <c r="F851" s="32" t="s">
        <v>116</v>
      </c>
    </row>
    <row r="852" spans="1:6">
      <c r="A852" s="29">
        <v>54385</v>
      </c>
      <c r="B852" s="31" t="s">
        <v>1468</v>
      </c>
      <c r="C852" s="31" t="s">
        <v>249</v>
      </c>
      <c r="D852" s="31" t="s">
        <v>169</v>
      </c>
      <c r="E852" s="31" t="s">
        <v>729</v>
      </c>
      <c r="F852" s="32" t="s">
        <v>116</v>
      </c>
    </row>
    <row r="853" spans="1:6">
      <c r="A853" s="29">
        <v>54398</v>
      </c>
      <c r="B853" s="31" t="s">
        <v>1469</v>
      </c>
      <c r="C853" s="31" t="s">
        <v>249</v>
      </c>
      <c r="D853" s="31" t="s">
        <v>247</v>
      </c>
      <c r="E853" s="31" t="s">
        <v>729</v>
      </c>
      <c r="F853" s="32" t="s">
        <v>176</v>
      </c>
    </row>
    <row r="854" spans="1:6">
      <c r="A854" s="29">
        <v>54377</v>
      </c>
      <c r="B854" s="31" t="s">
        <v>1470</v>
      </c>
      <c r="C854" s="31" t="s">
        <v>249</v>
      </c>
      <c r="D854" s="31" t="s">
        <v>247</v>
      </c>
      <c r="E854" s="31" t="s">
        <v>729</v>
      </c>
      <c r="F854" s="32" t="s">
        <v>176</v>
      </c>
    </row>
    <row r="855" spans="1:6">
      <c r="A855" s="29">
        <v>54405</v>
      </c>
      <c r="B855" s="31" t="s">
        <v>575</v>
      </c>
      <c r="C855" s="31" t="s">
        <v>249</v>
      </c>
      <c r="D855" s="31" t="s">
        <v>247</v>
      </c>
      <c r="E855" s="31" t="s">
        <v>729</v>
      </c>
      <c r="F855" s="32" t="s">
        <v>104</v>
      </c>
    </row>
    <row r="856" spans="1:6">
      <c r="A856" s="29">
        <v>54418</v>
      </c>
      <c r="B856" s="31" t="s">
        <v>1471</v>
      </c>
      <c r="C856" s="31" t="s">
        <v>249</v>
      </c>
      <c r="D856" s="31" t="s">
        <v>247</v>
      </c>
      <c r="E856" s="31" t="s">
        <v>729</v>
      </c>
      <c r="F856" s="32" t="s">
        <v>116</v>
      </c>
    </row>
    <row r="857" spans="1:6">
      <c r="A857" s="29">
        <v>54480</v>
      </c>
      <c r="B857" s="31" t="s">
        <v>1472</v>
      </c>
      <c r="C857" s="31" t="s">
        <v>249</v>
      </c>
      <c r="D857" s="31" t="s">
        <v>247</v>
      </c>
      <c r="E857" s="31" t="s">
        <v>729</v>
      </c>
      <c r="F857" s="32" t="s">
        <v>116</v>
      </c>
    </row>
    <row r="858" spans="1:6">
      <c r="A858" s="29">
        <v>54498</v>
      </c>
      <c r="B858" s="31" t="s">
        <v>594</v>
      </c>
      <c r="C858" s="31" t="s">
        <v>249</v>
      </c>
      <c r="D858" s="31" t="s">
        <v>247</v>
      </c>
      <c r="E858" s="31" t="s">
        <v>729</v>
      </c>
      <c r="F858" s="32" t="s">
        <v>176</v>
      </c>
    </row>
    <row r="859" spans="1:6">
      <c r="A859" s="29">
        <v>54518</v>
      </c>
      <c r="B859" s="31" t="s">
        <v>1473</v>
      </c>
      <c r="C859" s="31" t="s">
        <v>249</v>
      </c>
      <c r="D859" s="31" t="s">
        <v>247</v>
      </c>
      <c r="E859" s="31" t="s">
        <v>729</v>
      </c>
      <c r="F859" s="32" t="s">
        <v>116</v>
      </c>
    </row>
    <row r="860" spans="1:6">
      <c r="A860" s="29">
        <v>54520</v>
      </c>
      <c r="B860" s="31" t="s">
        <v>1474</v>
      </c>
      <c r="C860" s="31" t="s">
        <v>249</v>
      </c>
      <c r="D860" s="31" t="s">
        <v>247</v>
      </c>
      <c r="E860" s="31" t="s">
        <v>729</v>
      </c>
      <c r="F860" s="32" t="s">
        <v>116</v>
      </c>
    </row>
    <row r="861" spans="1:6">
      <c r="A861" s="29">
        <v>54599</v>
      </c>
      <c r="B861" s="31" t="s">
        <v>1475</v>
      </c>
      <c r="C861" s="31" t="s">
        <v>249</v>
      </c>
      <c r="D861" s="31" t="s">
        <v>247</v>
      </c>
      <c r="E861" s="31" t="s">
        <v>729</v>
      </c>
      <c r="F861" s="32" t="s">
        <v>116</v>
      </c>
    </row>
    <row r="862" spans="1:6">
      <c r="A862" s="29">
        <v>54660</v>
      </c>
      <c r="B862" s="31" t="s">
        <v>1476</v>
      </c>
      <c r="C862" s="31" t="s">
        <v>249</v>
      </c>
      <c r="D862" s="31" t="s">
        <v>247</v>
      </c>
      <c r="E862" s="31" t="s">
        <v>729</v>
      </c>
      <c r="F862" s="32" t="s">
        <v>125</v>
      </c>
    </row>
    <row r="863" spans="1:6">
      <c r="A863" s="29">
        <v>54670</v>
      </c>
      <c r="B863" s="31" t="s">
        <v>1477</v>
      </c>
      <c r="C863" s="31" t="s">
        <v>249</v>
      </c>
      <c r="D863" s="31" t="s">
        <v>247</v>
      </c>
      <c r="E863" s="31" t="s">
        <v>729</v>
      </c>
      <c r="F863" s="32" t="s">
        <v>176</v>
      </c>
    </row>
    <row r="864" spans="1:6">
      <c r="A864" s="29">
        <v>54720</v>
      </c>
      <c r="B864" s="31" t="s">
        <v>1478</v>
      </c>
      <c r="C864" s="31" t="s">
        <v>249</v>
      </c>
      <c r="D864" s="31" t="s">
        <v>247</v>
      </c>
      <c r="E864" s="31" t="s">
        <v>729</v>
      </c>
      <c r="F864" s="32" t="s">
        <v>125</v>
      </c>
    </row>
    <row r="865" spans="1:6">
      <c r="A865" s="29">
        <v>54743</v>
      </c>
      <c r="B865" s="31" t="s">
        <v>1479</v>
      </c>
      <c r="C865" s="31" t="s">
        <v>249</v>
      </c>
      <c r="D865" s="31" t="s">
        <v>247</v>
      </c>
      <c r="E865" s="31" t="s">
        <v>729</v>
      </c>
      <c r="F865" s="32" t="s">
        <v>176</v>
      </c>
    </row>
    <row r="866" spans="1:6">
      <c r="A866" s="29">
        <v>54800</v>
      </c>
      <c r="B866" s="31" t="s">
        <v>1480</v>
      </c>
      <c r="C866" s="31" t="s">
        <v>249</v>
      </c>
      <c r="D866" s="31" t="s">
        <v>247</v>
      </c>
      <c r="E866" s="31" t="s">
        <v>729</v>
      </c>
      <c r="F866" s="32" t="s">
        <v>176</v>
      </c>
    </row>
    <row r="867" spans="1:6">
      <c r="A867" s="29">
        <v>54810</v>
      </c>
      <c r="B867" s="31" t="s">
        <v>525</v>
      </c>
      <c r="C867" s="31" t="s">
        <v>249</v>
      </c>
      <c r="D867" s="31" t="s">
        <v>247</v>
      </c>
      <c r="E867" s="31" t="s">
        <v>729</v>
      </c>
      <c r="F867" s="32" t="s">
        <v>93</v>
      </c>
    </row>
    <row r="868" spans="1:6">
      <c r="A868" s="29">
        <v>54871</v>
      </c>
      <c r="B868" s="31" t="s">
        <v>1481</v>
      </c>
      <c r="C868" s="31" t="s">
        <v>249</v>
      </c>
      <c r="D868" s="31" t="s">
        <v>247</v>
      </c>
      <c r="E868" s="31" t="s">
        <v>729</v>
      </c>
      <c r="F868" s="32" t="s">
        <v>176</v>
      </c>
    </row>
    <row r="869" spans="1:6">
      <c r="A869" s="29">
        <v>54874</v>
      </c>
      <c r="B869" s="31" t="s">
        <v>1482</v>
      </c>
      <c r="C869" s="31" t="s">
        <v>249</v>
      </c>
      <c r="D869" s="31" t="s">
        <v>247</v>
      </c>
      <c r="E869" s="31" t="s">
        <v>729</v>
      </c>
      <c r="F869" s="32" t="s">
        <v>104</v>
      </c>
    </row>
    <row r="870" spans="1:6">
      <c r="A870" s="29">
        <v>86219</v>
      </c>
      <c r="B870" s="30" t="s">
        <v>323</v>
      </c>
      <c r="C870" s="31" t="s">
        <v>453</v>
      </c>
      <c r="D870" s="31" t="s">
        <v>239</v>
      </c>
      <c r="E870" s="31" t="s">
        <v>729</v>
      </c>
      <c r="F870" s="32" t="s">
        <v>125</v>
      </c>
    </row>
    <row r="871" spans="1:6">
      <c r="A871" s="29">
        <v>86755</v>
      </c>
      <c r="B871" s="30" t="s">
        <v>743</v>
      </c>
      <c r="C871" s="31" t="s">
        <v>453</v>
      </c>
      <c r="D871" s="31" t="s">
        <v>239</v>
      </c>
      <c r="E871" s="31" t="s">
        <v>729</v>
      </c>
      <c r="F871" s="32" t="s">
        <v>116</v>
      </c>
    </row>
    <row r="872" spans="1:6">
      <c r="A872" s="29">
        <v>86757</v>
      </c>
      <c r="B872" s="30" t="s">
        <v>1483</v>
      </c>
      <c r="C872" s="31" t="s">
        <v>453</v>
      </c>
      <c r="D872" s="31" t="s">
        <v>239</v>
      </c>
      <c r="E872" s="31" t="s">
        <v>729</v>
      </c>
      <c r="F872" s="32" t="s">
        <v>176</v>
      </c>
    </row>
    <row r="873" spans="1:6">
      <c r="A873" s="29">
        <v>86760</v>
      </c>
      <c r="B873" s="30" t="s">
        <v>1450</v>
      </c>
      <c r="C873" s="31" t="s">
        <v>453</v>
      </c>
      <c r="D873" s="31" t="s">
        <v>239</v>
      </c>
      <c r="E873" s="31" t="s">
        <v>729</v>
      </c>
      <c r="F873" s="32" t="s">
        <v>125</v>
      </c>
    </row>
    <row r="874" spans="1:6">
      <c r="A874" s="29">
        <v>86573</v>
      </c>
      <c r="B874" s="31" t="s">
        <v>1484</v>
      </c>
      <c r="C874" s="31" t="s">
        <v>453</v>
      </c>
      <c r="D874" s="31" t="s">
        <v>239</v>
      </c>
      <c r="E874" s="33" t="s">
        <v>717</v>
      </c>
      <c r="F874" s="32" t="s">
        <v>176</v>
      </c>
    </row>
    <row r="875" spans="1:6">
      <c r="A875" s="29">
        <v>86001</v>
      </c>
      <c r="B875" s="31" t="s">
        <v>1485</v>
      </c>
      <c r="C875" s="31" t="s">
        <v>453</v>
      </c>
      <c r="D875" s="31" t="s">
        <v>239</v>
      </c>
      <c r="E875" s="31" t="s">
        <v>729</v>
      </c>
      <c r="F875" s="32" t="s">
        <v>176</v>
      </c>
    </row>
    <row r="876" spans="1:6">
      <c r="A876" s="29">
        <v>86320</v>
      </c>
      <c r="B876" s="31" t="s">
        <v>1486</v>
      </c>
      <c r="C876" s="31" t="s">
        <v>453</v>
      </c>
      <c r="D876" s="31" t="s">
        <v>239</v>
      </c>
      <c r="E876" s="31" t="s">
        <v>729</v>
      </c>
      <c r="F876" s="32" t="s">
        <v>176</v>
      </c>
    </row>
    <row r="877" spans="1:6">
      <c r="A877" s="29">
        <v>86568</v>
      </c>
      <c r="B877" s="31" t="s">
        <v>1487</v>
      </c>
      <c r="C877" s="31" t="s">
        <v>453</v>
      </c>
      <c r="D877" s="31" t="s">
        <v>239</v>
      </c>
      <c r="E877" s="31" t="s">
        <v>729</v>
      </c>
      <c r="F877" s="32" t="s">
        <v>176</v>
      </c>
    </row>
    <row r="878" spans="1:6">
      <c r="A878" s="29">
        <v>86569</v>
      </c>
      <c r="B878" s="31" t="s">
        <v>518</v>
      </c>
      <c r="C878" s="31" t="s">
        <v>453</v>
      </c>
      <c r="D878" s="31" t="s">
        <v>239</v>
      </c>
      <c r="E878" s="31" t="s">
        <v>729</v>
      </c>
      <c r="F878" s="32" t="s">
        <v>176</v>
      </c>
    </row>
    <row r="879" spans="1:6">
      <c r="A879" s="29">
        <v>86571</v>
      </c>
      <c r="B879" s="31" t="s">
        <v>1488</v>
      </c>
      <c r="C879" s="31" t="s">
        <v>453</v>
      </c>
      <c r="D879" s="31" t="s">
        <v>239</v>
      </c>
      <c r="E879" s="31" t="s">
        <v>729</v>
      </c>
      <c r="F879" s="32" t="s">
        <v>176</v>
      </c>
    </row>
    <row r="880" spans="1:6">
      <c r="A880" s="29">
        <v>86749</v>
      </c>
      <c r="B880" s="31" t="s">
        <v>454</v>
      </c>
      <c r="C880" s="31" t="s">
        <v>453</v>
      </c>
      <c r="D880" s="31" t="s">
        <v>239</v>
      </c>
      <c r="E880" s="31" t="s">
        <v>729</v>
      </c>
      <c r="F880" s="32" t="s">
        <v>116</v>
      </c>
    </row>
    <row r="881" spans="1:6">
      <c r="A881" s="29">
        <v>86865</v>
      </c>
      <c r="B881" s="31" t="s">
        <v>1489</v>
      </c>
      <c r="C881" s="31" t="s">
        <v>453</v>
      </c>
      <c r="D881" s="31" t="s">
        <v>239</v>
      </c>
      <c r="E881" s="31" t="s">
        <v>729</v>
      </c>
      <c r="F881" s="32" t="s">
        <v>176</v>
      </c>
    </row>
    <row r="882" spans="1:6">
      <c r="A882" s="29">
        <v>86885</v>
      </c>
      <c r="B882" s="31" t="s">
        <v>1490</v>
      </c>
      <c r="C882" s="31" t="s">
        <v>453</v>
      </c>
      <c r="D882" s="31" t="s">
        <v>239</v>
      </c>
      <c r="E882" s="31" t="s">
        <v>729</v>
      </c>
      <c r="F882" s="32" t="s">
        <v>176</v>
      </c>
    </row>
    <row r="883" spans="1:6">
      <c r="A883" s="29">
        <v>63001</v>
      </c>
      <c r="B883" s="30" t="s">
        <v>130</v>
      </c>
      <c r="C883" s="31" t="s">
        <v>532</v>
      </c>
      <c r="D883" s="31" t="s">
        <v>530</v>
      </c>
      <c r="E883" s="31" t="s">
        <v>729</v>
      </c>
      <c r="F883" s="32" t="s">
        <v>125</v>
      </c>
    </row>
    <row r="884" spans="1:6">
      <c r="A884" s="29">
        <v>63111</v>
      </c>
      <c r="B884" s="30" t="s">
        <v>911</v>
      </c>
      <c r="C884" s="31" t="s">
        <v>532</v>
      </c>
      <c r="D884" s="31" t="s">
        <v>530</v>
      </c>
      <c r="E884" s="31" t="s">
        <v>729</v>
      </c>
      <c r="F884" s="32" t="s">
        <v>125</v>
      </c>
    </row>
    <row r="885" spans="1:6">
      <c r="A885" s="29">
        <v>63212</v>
      </c>
      <c r="B885" s="30" t="s">
        <v>340</v>
      </c>
      <c r="C885" s="31" t="s">
        <v>532</v>
      </c>
      <c r="D885" s="31" t="s">
        <v>530</v>
      </c>
      <c r="E885" s="31" t="s">
        <v>729</v>
      </c>
      <c r="F885" s="32" t="s">
        <v>125</v>
      </c>
    </row>
    <row r="886" spans="1:6">
      <c r="A886" s="29">
        <v>63130</v>
      </c>
      <c r="B886" s="31" t="s">
        <v>533</v>
      </c>
      <c r="C886" s="31" t="s">
        <v>532</v>
      </c>
      <c r="D886" s="31" t="s">
        <v>530</v>
      </c>
      <c r="E886" s="31" t="s">
        <v>729</v>
      </c>
      <c r="F886" s="32" t="s">
        <v>125</v>
      </c>
    </row>
    <row r="887" spans="1:6">
      <c r="A887" s="29">
        <v>63190</v>
      </c>
      <c r="B887" s="31" t="s">
        <v>1491</v>
      </c>
      <c r="C887" s="31" t="s">
        <v>532</v>
      </c>
      <c r="D887" s="31" t="s">
        <v>530</v>
      </c>
      <c r="E887" s="31" t="s">
        <v>729</v>
      </c>
      <c r="F887" s="32" t="s">
        <v>125</v>
      </c>
    </row>
    <row r="888" spans="1:6">
      <c r="A888" s="29">
        <v>63272</v>
      </c>
      <c r="B888" s="31" t="s">
        <v>1492</v>
      </c>
      <c r="C888" s="31" t="s">
        <v>532</v>
      </c>
      <c r="D888" s="31" t="s">
        <v>530</v>
      </c>
      <c r="E888" s="31" t="s">
        <v>729</v>
      </c>
      <c r="F888" s="32" t="s">
        <v>125</v>
      </c>
    </row>
    <row r="889" spans="1:6">
      <c r="A889" s="29">
        <v>63302</v>
      </c>
      <c r="B889" s="31" t="s">
        <v>1493</v>
      </c>
      <c r="C889" s="31" t="s">
        <v>532</v>
      </c>
      <c r="D889" s="31" t="s">
        <v>530</v>
      </c>
      <c r="E889" s="31" t="s">
        <v>729</v>
      </c>
      <c r="F889" s="32" t="s">
        <v>116</v>
      </c>
    </row>
    <row r="890" spans="1:6">
      <c r="A890" s="29">
        <v>63401</v>
      </c>
      <c r="B890" s="31" t="s">
        <v>1494</v>
      </c>
      <c r="C890" s="31" t="s">
        <v>532</v>
      </c>
      <c r="D890" s="31" t="s">
        <v>530</v>
      </c>
      <c r="E890" s="31" t="s">
        <v>729</v>
      </c>
      <c r="F890" s="32" t="s">
        <v>125</v>
      </c>
    </row>
    <row r="891" spans="1:6">
      <c r="A891" s="29">
        <v>63470</v>
      </c>
      <c r="B891" s="31" t="s">
        <v>1495</v>
      </c>
      <c r="C891" s="31" t="s">
        <v>532</v>
      </c>
      <c r="D891" s="31" t="s">
        <v>530</v>
      </c>
      <c r="E891" s="31" t="s">
        <v>729</v>
      </c>
      <c r="F891" s="32" t="s">
        <v>125</v>
      </c>
    </row>
    <row r="892" spans="1:6">
      <c r="A892" s="29">
        <v>63548</v>
      </c>
      <c r="B892" s="31" t="s">
        <v>1496</v>
      </c>
      <c r="C892" s="31" t="s">
        <v>532</v>
      </c>
      <c r="D892" s="31" t="s">
        <v>530</v>
      </c>
      <c r="E892" s="31" t="s">
        <v>729</v>
      </c>
      <c r="F892" s="32" t="s">
        <v>116</v>
      </c>
    </row>
    <row r="893" spans="1:6">
      <c r="A893" s="29">
        <v>63594</v>
      </c>
      <c r="B893" s="31" t="s">
        <v>676</v>
      </c>
      <c r="C893" s="31" t="s">
        <v>532</v>
      </c>
      <c r="D893" s="31" t="s">
        <v>530</v>
      </c>
      <c r="E893" s="31" t="s">
        <v>729</v>
      </c>
      <c r="F893" s="32" t="s">
        <v>125</v>
      </c>
    </row>
    <row r="894" spans="1:6">
      <c r="A894" s="29">
        <v>63690</v>
      </c>
      <c r="B894" s="31" t="s">
        <v>1497</v>
      </c>
      <c r="C894" s="31" t="s">
        <v>532</v>
      </c>
      <c r="D894" s="31" t="s">
        <v>530</v>
      </c>
      <c r="E894" s="31" t="s">
        <v>729</v>
      </c>
      <c r="F894" s="32" t="s">
        <v>125</v>
      </c>
    </row>
    <row r="895" spans="1:6">
      <c r="A895" s="29">
        <v>66075</v>
      </c>
      <c r="B895" s="30" t="s">
        <v>1084</v>
      </c>
      <c r="C895" s="31" t="s">
        <v>1046</v>
      </c>
      <c r="D895" s="31" t="s">
        <v>530</v>
      </c>
      <c r="E895" s="31" t="s">
        <v>729</v>
      </c>
      <c r="F895" s="32" t="s">
        <v>125</v>
      </c>
    </row>
    <row r="896" spans="1:6">
      <c r="A896" s="29">
        <v>66045</v>
      </c>
      <c r="B896" s="31" t="s">
        <v>1498</v>
      </c>
      <c r="C896" s="31" t="s">
        <v>1046</v>
      </c>
      <c r="D896" s="31" t="s">
        <v>530</v>
      </c>
      <c r="E896" s="31" t="s">
        <v>729</v>
      </c>
      <c r="F896" s="32" t="s">
        <v>125</v>
      </c>
    </row>
    <row r="897" spans="1:6">
      <c r="A897" s="29">
        <v>66088</v>
      </c>
      <c r="B897" s="31" t="s">
        <v>1499</v>
      </c>
      <c r="C897" s="31" t="s">
        <v>1046</v>
      </c>
      <c r="D897" s="31" t="s">
        <v>530</v>
      </c>
      <c r="E897" s="31" t="s">
        <v>729</v>
      </c>
      <c r="F897" s="32" t="s">
        <v>125</v>
      </c>
    </row>
    <row r="898" spans="1:6">
      <c r="A898" s="29">
        <v>66170</v>
      </c>
      <c r="B898" s="31" t="s">
        <v>1500</v>
      </c>
      <c r="C898" s="31" t="s">
        <v>1046</v>
      </c>
      <c r="D898" s="31" t="s">
        <v>530</v>
      </c>
      <c r="E898" s="31" t="s">
        <v>729</v>
      </c>
      <c r="F898" s="32" t="s">
        <v>104</v>
      </c>
    </row>
    <row r="899" spans="1:6">
      <c r="A899" s="29">
        <v>66318</v>
      </c>
      <c r="B899" s="31" t="s">
        <v>1501</v>
      </c>
      <c r="C899" s="31" t="s">
        <v>1046</v>
      </c>
      <c r="D899" s="31" t="s">
        <v>530</v>
      </c>
      <c r="E899" s="31" t="s">
        <v>729</v>
      </c>
      <c r="F899" s="32" t="s">
        <v>125</v>
      </c>
    </row>
    <row r="900" spans="1:6">
      <c r="A900" s="29">
        <v>66383</v>
      </c>
      <c r="B900" s="31" t="s">
        <v>1502</v>
      </c>
      <c r="C900" s="31" t="s">
        <v>1046</v>
      </c>
      <c r="D900" s="31" t="s">
        <v>530</v>
      </c>
      <c r="E900" s="31" t="s">
        <v>729</v>
      </c>
      <c r="F900" s="32" t="s">
        <v>125</v>
      </c>
    </row>
    <row r="901" spans="1:6">
      <c r="A901" s="29">
        <v>66400</v>
      </c>
      <c r="B901" s="31" t="s">
        <v>1503</v>
      </c>
      <c r="C901" s="31" t="s">
        <v>1046</v>
      </c>
      <c r="D901" s="31" t="s">
        <v>530</v>
      </c>
      <c r="E901" s="31" t="s">
        <v>729</v>
      </c>
      <c r="F901" s="32" t="s">
        <v>104</v>
      </c>
    </row>
    <row r="902" spans="1:6">
      <c r="A902" s="29">
        <v>66440</v>
      </c>
      <c r="B902" s="31" t="s">
        <v>1504</v>
      </c>
      <c r="C902" s="31" t="s">
        <v>1046</v>
      </c>
      <c r="D902" s="31" t="s">
        <v>530</v>
      </c>
      <c r="E902" s="31" t="s">
        <v>729</v>
      </c>
      <c r="F902" s="32" t="s">
        <v>125</v>
      </c>
    </row>
    <row r="903" spans="1:6">
      <c r="A903" s="29">
        <v>66456</v>
      </c>
      <c r="B903" s="31" t="s">
        <v>1505</v>
      </c>
      <c r="C903" s="31" t="s">
        <v>1046</v>
      </c>
      <c r="D903" s="31" t="s">
        <v>530</v>
      </c>
      <c r="E903" s="31" t="s">
        <v>729</v>
      </c>
      <c r="F903" s="32" t="s">
        <v>125</v>
      </c>
    </row>
    <row r="904" spans="1:6">
      <c r="A904" s="29">
        <v>66001</v>
      </c>
      <c r="B904" s="31" t="s">
        <v>530</v>
      </c>
      <c r="C904" s="31" t="s">
        <v>1046</v>
      </c>
      <c r="D904" s="31" t="s">
        <v>530</v>
      </c>
      <c r="E904" s="31" t="s">
        <v>729</v>
      </c>
      <c r="F904" s="32" t="s">
        <v>104</v>
      </c>
    </row>
    <row r="905" spans="1:6">
      <c r="A905" s="29">
        <v>66572</v>
      </c>
      <c r="B905" s="31" t="s">
        <v>1506</v>
      </c>
      <c r="C905" s="31" t="s">
        <v>1046</v>
      </c>
      <c r="D905" s="31" t="s">
        <v>530</v>
      </c>
      <c r="E905" s="31" t="s">
        <v>729</v>
      </c>
      <c r="F905" s="32" t="s">
        <v>125</v>
      </c>
    </row>
    <row r="906" spans="1:6">
      <c r="A906" s="29">
        <v>66594</v>
      </c>
      <c r="B906" s="31" t="s">
        <v>1507</v>
      </c>
      <c r="C906" s="31" t="s">
        <v>1046</v>
      </c>
      <c r="D906" s="31" t="s">
        <v>530</v>
      </c>
      <c r="E906" s="31" t="s">
        <v>729</v>
      </c>
      <c r="F906" s="32" t="s">
        <v>125</v>
      </c>
    </row>
    <row r="907" spans="1:6">
      <c r="A907" s="29">
        <v>66682</v>
      </c>
      <c r="B907" s="31" t="s">
        <v>1508</v>
      </c>
      <c r="C907" s="31" t="s">
        <v>1046</v>
      </c>
      <c r="D907" s="31" t="s">
        <v>530</v>
      </c>
      <c r="E907" s="31" t="s">
        <v>729</v>
      </c>
      <c r="F907" s="32" t="s">
        <v>104</v>
      </c>
    </row>
    <row r="908" spans="1:6">
      <c r="A908" s="29">
        <v>66687</v>
      </c>
      <c r="B908" s="31" t="s">
        <v>1509</v>
      </c>
      <c r="C908" s="31" t="s">
        <v>1046</v>
      </c>
      <c r="D908" s="31" t="s">
        <v>530</v>
      </c>
      <c r="E908" s="31" t="s">
        <v>729</v>
      </c>
      <c r="F908" s="32" t="s">
        <v>125</v>
      </c>
    </row>
    <row r="909" spans="1:6">
      <c r="A909" s="29">
        <v>88564</v>
      </c>
      <c r="B909" s="30" t="s">
        <v>1403</v>
      </c>
      <c r="C909" s="31" t="s">
        <v>1510</v>
      </c>
      <c r="D909" s="31" t="s">
        <v>603</v>
      </c>
      <c r="E909" s="31" t="s">
        <v>717</v>
      </c>
      <c r="F909" s="32" t="s">
        <v>93</v>
      </c>
    </row>
    <row r="910" spans="1:6">
      <c r="A910" s="29">
        <v>88001</v>
      </c>
      <c r="B910" s="30" t="s">
        <v>1511</v>
      </c>
      <c r="C910" s="31" t="s">
        <v>1510</v>
      </c>
      <c r="D910" s="31" t="s">
        <v>603</v>
      </c>
      <c r="E910" s="31" t="s">
        <v>717</v>
      </c>
      <c r="F910" s="32" t="s">
        <v>93</v>
      </c>
    </row>
    <row r="911" spans="1:6">
      <c r="A911" s="29">
        <v>68020</v>
      </c>
      <c r="B911" s="30" t="s">
        <v>1053</v>
      </c>
      <c r="C911" s="31" t="s">
        <v>171</v>
      </c>
      <c r="D911" s="31" t="s">
        <v>152</v>
      </c>
      <c r="E911" s="31" t="s">
        <v>729</v>
      </c>
      <c r="F911" s="32" t="s">
        <v>116</v>
      </c>
    </row>
    <row r="912" spans="1:6">
      <c r="A912" s="29">
        <v>68077</v>
      </c>
      <c r="B912" s="30" t="s">
        <v>730</v>
      </c>
      <c r="C912" s="31" t="s">
        <v>171</v>
      </c>
      <c r="D912" s="31" t="s">
        <v>152</v>
      </c>
      <c r="E912" s="31" t="s">
        <v>729</v>
      </c>
      <c r="F912" s="32" t="s">
        <v>125</v>
      </c>
    </row>
    <row r="913" spans="1:6">
      <c r="A913" s="29">
        <v>68092</v>
      </c>
      <c r="B913" s="30" t="s">
        <v>731</v>
      </c>
      <c r="C913" s="31" t="s">
        <v>171</v>
      </c>
      <c r="D913" s="31" t="s">
        <v>169</v>
      </c>
      <c r="E913" s="31" t="s">
        <v>729</v>
      </c>
      <c r="F913" s="32" t="s">
        <v>176</v>
      </c>
    </row>
    <row r="914" spans="1:6">
      <c r="A914" s="29">
        <v>68101</v>
      </c>
      <c r="B914" s="30" t="s">
        <v>228</v>
      </c>
      <c r="C914" s="31" t="s">
        <v>171</v>
      </c>
      <c r="D914" s="31" t="s">
        <v>152</v>
      </c>
      <c r="E914" s="31" t="s">
        <v>729</v>
      </c>
      <c r="F914" s="32" t="s">
        <v>116</v>
      </c>
    </row>
    <row r="915" spans="1:6">
      <c r="A915" s="29">
        <v>68121</v>
      </c>
      <c r="B915" s="30" t="s">
        <v>1196</v>
      </c>
      <c r="C915" s="31" t="s">
        <v>171</v>
      </c>
      <c r="D915" s="31" t="s">
        <v>169</v>
      </c>
      <c r="E915" s="31" t="s">
        <v>729</v>
      </c>
      <c r="F915" s="32" t="s">
        <v>116</v>
      </c>
    </row>
    <row r="916" spans="1:6">
      <c r="A916" s="29">
        <v>68176</v>
      </c>
      <c r="B916" s="30" t="s">
        <v>1171</v>
      </c>
      <c r="C916" s="31" t="s">
        <v>171</v>
      </c>
      <c r="D916" s="31" t="s">
        <v>169</v>
      </c>
      <c r="E916" s="31" t="s">
        <v>729</v>
      </c>
      <c r="F916" s="32" t="s">
        <v>176</v>
      </c>
    </row>
    <row r="917" spans="1:6">
      <c r="A917" s="29">
        <v>68207</v>
      </c>
      <c r="B917" s="30" t="s">
        <v>734</v>
      </c>
      <c r="C917" s="31" t="s">
        <v>171</v>
      </c>
      <c r="D917" s="31" t="s">
        <v>169</v>
      </c>
      <c r="E917" s="31" t="s">
        <v>729</v>
      </c>
      <c r="F917" s="32" t="s">
        <v>176</v>
      </c>
    </row>
    <row r="918" spans="1:6">
      <c r="A918" s="29">
        <v>68250</v>
      </c>
      <c r="B918" s="30" t="s">
        <v>868</v>
      </c>
      <c r="C918" s="31" t="s">
        <v>171</v>
      </c>
      <c r="D918" s="31" t="s">
        <v>169</v>
      </c>
      <c r="E918" s="31" t="s">
        <v>729</v>
      </c>
      <c r="F918" s="32" t="s">
        <v>176</v>
      </c>
    </row>
    <row r="919" spans="1:6">
      <c r="A919" s="29">
        <v>68320</v>
      </c>
      <c r="B919" s="30" t="s">
        <v>737</v>
      </c>
      <c r="C919" s="31" t="s">
        <v>171</v>
      </c>
      <c r="D919" s="31" t="s">
        <v>169</v>
      </c>
      <c r="E919" s="31" t="s">
        <v>729</v>
      </c>
      <c r="F919" s="32" t="s">
        <v>176</v>
      </c>
    </row>
    <row r="920" spans="1:6">
      <c r="A920" s="29">
        <v>68397</v>
      </c>
      <c r="B920" s="30" t="s">
        <v>1119</v>
      </c>
      <c r="C920" s="31" t="s">
        <v>171</v>
      </c>
      <c r="D920" s="31" t="s">
        <v>169</v>
      </c>
      <c r="E920" s="31" t="s">
        <v>729</v>
      </c>
      <c r="F920" s="32" t="s">
        <v>176</v>
      </c>
    </row>
    <row r="921" spans="1:6">
      <c r="A921" s="29">
        <v>68615</v>
      </c>
      <c r="B921" s="30" t="s">
        <v>740</v>
      </c>
      <c r="C921" s="31" t="s">
        <v>171</v>
      </c>
      <c r="D921" s="31" t="s">
        <v>169</v>
      </c>
      <c r="E921" s="31" t="s">
        <v>729</v>
      </c>
      <c r="F921" s="32" t="s">
        <v>125</v>
      </c>
    </row>
    <row r="922" spans="1:6">
      <c r="A922" s="29">
        <v>68669</v>
      </c>
      <c r="B922" s="30" t="s">
        <v>1511</v>
      </c>
      <c r="C922" s="31" t="s">
        <v>171</v>
      </c>
      <c r="D922" s="31" t="s">
        <v>169</v>
      </c>
      <c r="E922" s="31" t="s">
        <v>729</v>
      </c>
      <c r="F922" s="32" t="s">
        <v>116</v>
      </c>
    </row>
    <row r="923" spans="1:6">
      <c r="A923" s="29">
        <v>68686</v>
      </c>
      <c r="B923" s="30" t="s">
        <v>1483</v>
      </c>
      <c r="C923" s="31" t="s">
        <v>171</v>
      </c>
      <c r="D923" s="31" t="s">
        <v>152</v>
      </c>
      <c r="E923" s="31" t="s">
        <v>729</v>
      </c>
      <c r="F923" s="32" t="s">
        <v>176</v>
      </c>
    </row>
    <row r="924" spans="1:6">
      <c r="A924" s="29">
        <v>68705</v>
      </c>
      <c r="B924" s="30" t="s">
        <v>745</v>
      </c>
      <c r="C924" s="31" t="s">
        <v>171</v>
      </c>
      <c r="D924" s="31" t="s">
        <v>169</v>
      </c>
      <c r="E924" s="31" t="s">
        <v>729</v>
      </c>
      <c r="F924" s="32" t="s">
        <v>125</v>
      </c>
    </row>
    <row r="925" spans="1:6">
      <c r="A925" s="29">
        <v>68773</v>
      </c>
      <c r="B925" s="30" t="s">
        <v>1088</v>
      </c>
      <c r="C925" s="31" t="s">
        <v>171</v>
      </c>
      <c r="D925" s="31" t="s">
        <v>152</v>
      </c>
      <c r="E925" s="31" t="s">
        <v>729</v>
      </c>
      <c r="F925" s="32" t="s">
        <v>116</v>
      </c>
    </row>
    <row r="926" spans="1:6">
      <c r="A926" s="29">
        <v>68872</v>
      </c>
      <c r="B926" s="30" t="s">
        <v>431</v>
      </c>
      <c r="C926" s="31" t="s">
        <v>171</v>
      </c>
      <c r="D926" s="31" t="s">
        <v>169</v>
      </c>
      <c r="E926" s="31" t="s">
        <v>729</v>
      </c>
      <c r="F926" s="32" t="s">
        <v>116</v>
      </c>
    </row>
    <row r="927" spans="1:6">
      <c r="A927" s="29">
        <v>68013</v>
      </c>
      <c r="B927" s="31" t="s">
        <v>1512</v>
      </c>
      <c r="C927" s="31" t="s">
        <v>171</v>
      </c>
      <c r="D927" s="31" t="s">
        <v>169</v>
      </c>
      <c r="E927" s="31" t="s">
        <v>729</v>
      </c>
      <c r="F927" s="32" t="s">
        <v>176</v>
      </c>
    </row>
    <row r="928" spans="1:6">
      <c r="A928" s="29">
        <v>68051</v>
      </c>
      <c r="B928" s="31" t="s">
        <v>1513</v>
      </c>
      <c r="C928" s="31" t="s">
        <v>171</v>
      </c>
      <c r="D928" s="31" t="s">
        <v>169</v>
      </c>
      <c r="E928" s="31" t="s">
        <v>729</v>
      </c>
      <c r="F928" s="32" t="s">
        <v>125</v>
      </c>
    </row>
    <row r="929" spans="1:6">
      <c r="A929" s="29">
        <v>68079</v>
      </c>
      <c r="B929" s="31" t="s">
        <v>1514</v>
      </c>
      <c r="C929" s="31" t="s">
        <v>171</v>
      </c>
      <c r="D929" s="31" t="s">
        <v>169</v>
      </c>
      <c r="E929" s="31" t="s">
        <v>729</v>
      </c>
      <c r="F929" s="32" t="s">
        <v>116</v>
      </c>
    </row>
    <row r="930" spans="1:6">
      <c r="A930" s="29">
        <v>68081</v>
      </c>
      <c r="B930" s="31" t="s">
        <v>1515</v>
      </c>
      <c r="C930" s="31" t="s">
        <v>171</v>
      </c>
      <c r="D930" s="31" t="s">
        <v>169</v>
      </c>
      <c r="E930" s="31" t="s">
        <v>729</v>
      </c>
      <c r="F930" s="32" t="s">
        <v>116</v>
      </c>
    </row>
    <row r="931" spans="1:6">
      <c r="A931" s="29">
        <v>68001</v>
      </c>
      <c r="B931" s="31" t="s">
        <v>169</v>
      </c>
      <c r="C931" s="31" t="s">
        <v>171</v>
      </c>
      <c r="D931" s="31" t="s">
        <v>169</v>
      </c>
      <c r="E931" s="31" t="s">
        <v>729</v>
      </c>
      <c r="F931" s="32" t="s">
        <v>104</v>
      </c>
    </row>
    <row r="932" spans="1:6">
      <c r="A932" s="29">
        <v>68132</v>
      </c>
      <c r="B932" s="31" t="s">
        <v>1516</v>
      </c>
      <c r="C932" s="31" t="s">
        <v>171</v>
      </c>
      <c r="D932" s="31" t="s">
        <v>169</v>
      </c>
      <c r="E932" s="31" t="s">
        <v>729</v>
      </c>
      <c r="F932" s="32" t="s">
        <v>116</v>
      </c>
    </row>
    <row r="933" spans="1:6">
      <c r="A933" s="29">
        <v>68147</v>
      </c>
      <c r="B933" s="31" t="s">
        <v>1517</v>
      </c>
      <c r="C933" s="31" t="s">
        <v>171</v>
      </c>
      <c r="D933" s="31" t="s">
        <v>169</v>
      </c>
      <c r="E933" s="31" t="s">
        <v>729</v>
      </c>
      <c r="F933" s="32" t="s">
        <v>176</v>
      </c>
    </row>
    <row r="934" spans="1:6">
      <c r="A934" s="29">
        <v>68152</v>
      </c>
      <c r="B934" s="31" t="s">
        <v>1518</v>
      </c>
      <c r="C934" s="31" t="s">
        <v>171</v>
      </c>
      <c r="D934" s="31" t="s">
        <v>169</v>
      </c>
      <c r="E934" s="31" t="s">
        <v>729</v>
      </c>
      <c r="F934" s="32" t="s">
        <v>176</v>
      </c>
    </row>
    <row r="935" spans="1:6">
      <c r="A935" s="29">
        <v>68160</v>
      </c>
      <c r="B935" s="31" t="s">
        <v>1519</v>
      </c>
      <c r="C935" s="31" t="s">
        <v>171</v>
      </c>
      <c r="D935" s="31" t="s">
        <v>169</v>
      </c>
      <c r="E935" s="31" t="s">
        <v>729</v>
      </c>
      <c r="F935" s="32" t="s">
        <v>116</v>
      </c>
    </row>
    <row r="936" spans="1:6">
      <c r="A936" s="29">
        <v>68162</v>
      </c>
      <c r="B936" s="31" t="s">
        <v>1520</v>
      </c>
      <c r="C936" s="31" t="s">
        <v>171</v>
      </c>
      <c r="D936" s="31" t="s">
        <v>169</v>
      </c>
      <c r="E936" s="31" t="s">
        <v>729</v>
      </c>
      <c r="F936" s="32" t="s">
        <v>176</v>
      </c>
    </row>
    <row r="937" spans="1:6">
      <c r="A937" s="29">
        <v>68167</v>
      </c>
      <c r="B937" s="31" t="s">
        <v>1521</v>
      </c>
      <c r="C937" s="31" t="s">
        <v>171</v>
      </c>
      <c r="D937" s="31" t="s">
        <v>169</v>
      </c>
      <c r="E937" s="31" t="s">
        <v>729</v>
      </c>
      <c r="F937" s="32" t="s">
        <v>176</v>
      </c>
    </row>
    <row r="938" spans="1:6">
      <c r="A938" s="29">
        <v>68169</v>
      </c>
      <c r="B938" s="31" t="s">
        <v>1522</v>
      </c>
      <c r="C938" s="31" t="s">
        <v>171</v>
      </c>
      <c r="D938" s="31" t="s">
        <v>169</v>
      </c>
      <c r="E938" s="31" t="s">
        <v>729</v>
      </c>
      <c r="F938" s="32" t="s">
        <v>125</v>
      </c>
    </row>
    <row r="939" spans="1:6">
      <c r="A939" s="29">
        <v>68179</v>
      </c>
      <c r="B939" s="31" t="s">
        <v>1523</v>
      </c>
      <c r="C939" s="31" t="s">
        <v>171</v>
      </c>
      <c r="D939" s="31" t="s">
        <v>152</v>
      </c>
      <c r="E939" s="31" t="s">
        <v>729</v>
      </c>
      <c r="F939" s="32" t="s">
        <v>176</v>
      </c>
    </row>
    <row r="940" spans="1:6">
      <c r="A940" s="29">
        <v>68190</v>
      </c>
      <c r="B940" s="31" t="s">
        <v>1524</v>
      </c>
      <c r="C940" s="31" t="s">
        <v>171</v>
      </c>
      <c r="D940" s="31" t="s">
        <v>169</v>
      </c>
      <c r="E940" s="31" t="s">
        <v>729</v>
      </c>
      <c r="F940" s="32" t="s">
        <v>176</v>
      </c>
    </row>
    <row r="941" spans="1:6">
      <c r="A941" s="29">
        <v>68209</v>
      </c>
      <c r="B941" s="31" t="s">
        <v>1525</v>
      </c>
      <c r="C941" s="31" t="s">
        <v>171</v>
      </c>
      <c r="D941" s="31" t="s">
        <v>169</v>
      </c>
      <c r="E941" s="31" t="s">
        <v>729</v>
      </c>
      <c r="F941" s="32" t="s">
        <v>116</v>
      </c>
    </row>
    <row r="942" spans="1:6">
      <c r="A942" s="29">
        <v>68211</v>
      </c>
      <c r="B942" s="31" t="s">
        <v>1526</v>
      </c>
      <c r="C942" s="31" t="s">
        <v>171</v>
      </c>
      <c r="D942" s="31" t="s">
        <v>169</v>
      </c>
      <c r="E942" s="31" t="s">
        <v>729</v>
      </c>
      <c r="F942" s="32" t="s">
        <v>176</v>
      </c>
    </row>
    <row r="943" spans="1:6">
      <c r="A943" s="29">
        <v>68217</v>
      </c>
      <c r="B943" s="31" t="s">
        <v>1527</v>
      </c>
      <c r="C943" s="31" t="s">
        <v>171</v>
      </c>
      <c r="D943" s="31" t="s">
        <v>169</v>
      </c>
      <c r="E943" s="31" t="s">
        <v>729</v>
      </c>
      <c r="F943" s="32" t="s">
        <v>176</v>
      </c>
    </row>
    <row r="944" spans="1:6">
      <c r="A944" s="29">
        <v>68229</v>
      </c>
      <c r="B944" s="31" t="s">
        <v>1528</v>
      </c>
      <c r="C944" s="31" t="s">
        <v>171</v>
      </c>
      <c r="D944" s="31" t="s">
        <v>169</v>
      </c>
      <c r="E944" s="31" t="s">
        <v>729</v>
      </c>
      <c r="F944" s="32" t="s">
        <v>125</v>
      </c>
    </row>
    <row r="945" spans="1:6">
      <c r="A945" s="29">
        <v>68235</v>
      </c>
      <c r="B945" s="31" t="s">
        <v>172</v>
      </c>
      <c r="C945" s="31" t="s">
        <v>171</v>
      </c>
      <c r="D945" s="31" t="s">
        <v>169</v>
      </c>
      <c r="E945" s="31" t="s">
        <v>729</v>
      </c>
      <c r="F945" s="32" t="s">
        <v>176</v>
      </c>
    </row>
    <row r="946" spans="1:6">
      <c r="A946" s="29">
        <v>68245</v>
      </c>
      <c r="B946" s="31" t="s">
        <v>1529</v>
      </c>
      <c r="C946" s="31" t="s">
        <v>171</v>
      </c>
      <c r="D946" s="31" t="s">
        <v>169</v>
      </c>
      <c r="E946" s="31" t="s">
        <v>729</v>
      </c>
      <c r="F946" s="32" t="s">
        <v>176</v>
      </c>
    </row>
    <row r="947" spans="1:6">
      <c r="A947" s="29">
        <v>68255</v>
      </c>
      <c r="B947" s="31" t="s">
        <v>1530</v>
      </c>
      <c r="C947" s="31" t="s">
        <v>171</v>
      </c>
      <c r="D947" s="31" t="s">
        <v>169</v>
      </c>
      <c r="E947" s="31" t="s">
        <v>729</v>
      </c>
      <c r="F947" s="32" t="s">
        <v>125</v>
      </c>
    </row>
    <row r="948" spans="1:6">
      <c r="A948" s="29">
        <v>68264</v>
      </c>
      <c r="B948" s="31" t="s">
        <v>1531</v>
      </c>
      <c r="C948" s="31" t="s">
        <v>171</v>
      </c>
      <c r="D948" s="31" t="s">
        <v>169</v>
      </c>
      <c r="E948" s="31" t="s">
        <v>729</v>
      </c>
      <c r="F948" s="32" t="s">
        <v>176</v>
      </c>
    </row>
    <row r="949" spans="1:6">
      <c r="A949" s="29">
        <v>68266</v>
      </c>
      <c r="B949" s="31" t="s">
        <v>1532</v>
      </c>
      <c r="C949" s="31" t="s">
        <v>171</v>
      </c>
      <c r="D949" s="31" t="s">
        <v>169</v>
      </c>
      <c r="E949" s="31" t="s">
        <v>729</v>
      </c>
      <c r="F949" s="32" t="s">
        <v>176</v>
      </c>
    </row>
    <row r="950" spans="1:6">
      <c r="A950" s="29">
        <v>68271</v>
      </c>
      <c r="B950" s="31" t="s">
        <v>1533</v>
      </c>
      <c r="C950" s="31" t="s">
        <v>171</v>
      </c>
      <c r="D950" s="31" t="s">
        <v>152</v>
      </c>
      <c r="E950" s="31" t="s">
        <v>729</v>
      </c>
      <c r="F950" s="32" t="s">
        <v>176</v>
      </c>
    </row>
    <row r="951" spans="1:6">
      <c r="A951" s="29">
        <v>68276</v>
      </c>
      <c r="B951" s="31" t="s">
        <v>1534</v>
      </c>
      <c r="C951" s="31" t="s">
        <v>171</v>
      </c>
      <c r="D951" s="31" t="s">
        <v>169</v>
      </c>
      <c r="E951" s="31" t="s">
        <v>729</v>
      </c>
      <c r="F951" s="32" t="s">
        <v>104</v>
      </c>
    </row>
    <row r="952" spans="1:6">
      <c r="A952" s="29">
        <v>68296</v>
      </c>
      <c r="B952" s="31" t="s">
        <v>1535</v>
      </c>
      <c r="C952" s="31" t="s">
        <v>171</v>
      </c>
      <c r="D952" s="31" t="s">
        <v>169</v>
      </c>
      <c r="E952" s="31" t="s">
        <v>729</v>
      </c>
      <c r="F952" s="32" t="s">
        <v>116</v>
      </c>
    </row>
    <row r="953" spans="1:6">
      <c r="A953" s="29">
        <v>68298</v>
      </c>
      <c r="B953" s="31" t="s">
        <v>1536</v>
      </c>
      <c r="C953" s="31" t="s">
        <v>171</v>
      </c>
      <c r="D953" s="31" t="s">
        <v>169</v>
      </c>
      <c r="E953" s="31" t="s">
        <v>729</v>
      </c>
      <c r="F953" s="32" t="s">
        <v>176</v>
      </c>
    </row>
    <row r="954" spans="1:6">
      <c r="A954" s="29">
        <v>68307</v>
      </c>
      <c r="B954" s="31" t="s">
        <v>422</v>
      </c>
      <c r="C954" s="31" t="s">
        <v>171</v>
      </c>
      <c r="D954" s="31" t="s">
        <v>169</v>
      </c>
      <c r="E954" s="31" t="s">
        <v>729</v>
      </c>
      <c r="F954" s="32" t="s">
        <v>104</v>
      </c>
    </row>
    <row r="955" spans="1:6">
      <c r="A955" s="29">
        <v>68318</v>
      </c>
      <c r="B955" s="31" t="s">
        <v>1537</v>
      </c>
      <c r="C955" s="31" t="s">
        <v>171</v>
      </c>
      <c r="D955" s="31" t="s">
        <v>169</v>
      </c>
      <c r="E955" s="31" t="s">
        <v>729</v>
      </c>
      <c r="F955" s="32" t="s">
        <v>116</v>
      </c>
    </row>
    <row r="956" spans="1:6">
      <c r="A956" s="29">
        <v>68322</v>
      </c>
      <c r="B956" s="31" t="s">
        <v>1538</v>
      </c>
      <c r="C956" s="31" t="s">
        <v>171</v>
      </c>
      <c r="D956" s="31" t="s">
        <v>169</v>
      </c>
      <c r="E956" s="31" t="s">
        <v>729</v>
      </c>
      <c r="F956" s="32" t="s">
        <v>176</v>
      </c>
    </row>
    <row r="957" spans="1:6">
      <c r="A957" s="29">
        <v>68324</v>
      </c>
      <c r="B957" s="31" t="s">
        <v>1539</v>
      </c>
      <c r="C957" s="31" t="s">
        <v>171</v>
      </c>
      <c r="D957" s="31" t="s">
        <v>169</v>
      </c>
      <c r="E957" s="31" t="s">
        <v>729</v>
      </c>
      <c r="F957" s="32" t="s">
        <v>176</v>
      </c>
    </row>
    <row r="958" spans="1:6">
      <c r="A958" s="29">
        <v>68327</v>
      </c>
      <c r="B958" s="31" t="s">
        <v>1540</v>
      </c>
      <c r="C958" s="31" t="s">
        <v>171</v>
      </c>
      <c r="D958" s="31" t="s">
        <v>169</v>
      </c>
      <c r="E958" s="31" t="s">
        <v>729</v>
      </c>
      <c r="F958" s="32" t="s">
        <v>116</v>
      </c>
    </row>
    <row r="959" spans="1:6">
      <c r="A959" s="29">
        <v>68344</v>
      </c>
      <c r="B959" s="31" t="s">
        <v>1541</v>
      </c>
      <c r="C959" s="31" t="s">
        <v>171</v>
      </c>
      <c r="D959" s="31" t="s">
        <v>169</v>
      </c>
      <c r="E959" s="31" t="s">
        <v>729</v>
      </c>
      <c r="F959" s="32" t="s">
        <v>116</v>
      </c>
    </row>
    <row r="960" spans="1:6">
      <c r="A960" s="29">
        <v>68368</v>
      </c>
      <c r="B960" s="31" t="s">
        <v>1542</v>
      </c>
      <c r="C960" s="31" t="s">
        <v>171</v>
      </c>
      <c r="D960" s="31" t="s">
        <v>152</v>
      </c>
      <c r="E960" s="31" t="s">
        <v>729</v>
      </c>
      <c r="F960" s="32" t="s">
        <v>176</v>
      </c>
    </row>
    <row r="961" spans="1:6">
      <c r="A961" s="29">
        <v>68370</v>
      </c>
      <c r="B961" s="31" t="s">
        <v>1543</v>
      </c>
      <c r="C961" s="31" t="s">
        <v>171</v>
      </c>
      <c r="D961" s="31" t="s">
        <v>169</v>
      </c>
      <c r="E961" s="31" t="s">
        <v>729</v>
      </c>
      <c r="F961" s="32" t="s">
        <v>116</v>
      </c>
    </row>
    <row r="962" spans="1:6">
      <c r="A962" s="29">
        <v>68377</v>
      </c>
      <c r="B962" s="31" t="s">
        <v>1544</v>
      </c>
      <c r="C962" s="31" t="s">
        <v>171</v>
      </c>
      <c r="D962" s="31" t="s">
        <v>152</v>
      </c>
      <c r="E962" s="31" t="s">
        <v>729</v>
      </c>
      <c r="F962" s="32" t="s">
        <v>176</v>
      </c>
    </row>
    <row r="963" spans="1:6">
      <c r="A963" s="29">
        <v>68385</v>
      </c>
      <c r="B963" s="31" t="s">
        <v>1545</v>
      </c>
      <c r="C963" s="31" t="s">
        <v>171</v>
      </c>
      <c r="D963" s="31" t="s">
        <v>152</v>
      </c>
      <c r="E963" s="31" t="s">
        <v>729</v>
      </c>
      <c r="F963" s="32" t="s">
        <v>116</v>
      </c>
    </row>
    <row r="964" spans="1:6">
      <c r="A964" s="29">
        <v>68406</v>
      </c>
      <c r="B964" s="31" t="s">
        <v>1546</v>
      </c>
      <c r="C964" s="31" t="s">
        <v>171</v>
      </c>
      <c r="D964" s="31" t="s">
        <v>169</v>
      </c>
      <c r="E964" s="31" t="s">
        <v>729</v>
      </c>
      <c r="F964" s="32" t="s">
        <v>125</v>
      </c>
    </row>
    <row r="965" spans="1:6">
      <c r="A965" s="29">
        <v>68418</v>
      </c>
      <c r="B965" s="31" t="s">
        <v>1547</v>
      </c>
      <c r="C965" s="31" t="s">
        <v>171</v>
      </c>
      <c r="D965" s="31" t="s">
        <v>169</v>
      </c>
      <c r="E965" s="31" t="s">
        <v>729</v>
      </c>
      <c r="F965" s="32" t="s">
        <v>125</v>
      </c>
    </row>
    <row r="966" spans="1:6">
      <c r="A966" s="29">
        <v>68425</v>
      </c>
      <c r="B966" s="31" t="s">
        <v>1548</v>
      </c>
      <c r="C966" s="31" t="s">
        <v>171</v>
      </c>
      <c r="D966" s="31" t="s">
        <v>169</v>
      </c>
      <c r="E966" s="31" t="s">
        <v>729</v>
      </c>
      <c r="F966" s="32" t="s">
        <v>176</v>
      </c>
    </row>
    <row r="967" spans="1:6">
      <c r="A967" s="29">
        <v>68432</v>
      </c>
      <c r="B967" s="31" t="s">
        <v>1549</v>
      </c>
      <c r="C967" s="31" t="s">
        <v>171</v>
      </c>
      <c r="D967" s="31" t="s">
        <v>169</v>
      </c>
      <c r="E967" s="31" t="s">
        <v>729</v>
      </c>
      <c r="F967" s="32" t="s">
        <v>176</v>
      </c>
    </row>
    <row r="968" spans="1:6">
      <c r="A968" s="29">
        <v>68444</v>
      </c>
      <c r="B968" s="31" t="s">
        <v>1550</v>
      </c>
      <c r="C968" s="31" t="s">
        <v>171</v>
      </c>
      <c r="D968" s="31" t="s">
        <v>169</v>
      </c>
      <c r="E968" s="31" t="s">
        <v>729</v>
      </c>
      <c r="F968" s="32" t="s">
        <v>116</v>
      </c>
    </row>
    <row r="969" spans="1:6">
      <c r="A969" s="29">
        <v>68464</v>
      </c>
      <c r="B969" s="31" t="s">
        <v>1551</v>
      </c>
      <c r="C969" s="31" t="s">
        <v>171</v>
      </c>
      <c r="D969" s="31" t="s">
        <v>169</v>
      </c>
      <c r="E969" s="31" t="s">
        <v>729</v>
      </c>
      <c r="F969" s="32" t="s">
        <v>116</v>
      </c>
    </row>
    <row r="970" spans="1:6">
      <c r="A970" s="29">
        <v>68468</v>
      </c>
      <c r="B970" s="31" t="s">
        <v>1552</v>
      </c>
      <c r="C970" s="31" t="s">
        <v>171</v>
      </c>
      <c r="D970" s="31" t="s">
        <v>169</v>
      </c>
      <c r="E970" s="31" t="s">
        <v>729</v>
      </c>
      <c r="F970" s="32" t="s">
        <v>176</v>
      </c>
    </row>
    <row r="971" spans="1:6">
      <c r="A971" s="29">
        <v>68498</v>
      </c>
      <c r="B971" s="31" t="s">
        <v>1553</v>
      </c>
      <c r="C971" s="31" t="s">
        <v>171</v>
      </c>
      <c r="D971" s="31" t="s">
        <v>169</v>
      </c>
      <c r="E971" s="31" t="s">
        <v>729</v>
      </c>
      <c r="F971" s="32" t="s">
        <v>176</v>
      </c>
    </row>
    <row r="972" spans="1:6">
      <c r="A972" s="29">
        <v>68500</v>
      </c>
      <c r="B972" s="31" t="s">
        <v>1554</v>
      </c>
      <c r="C972" s="31" t="s">
        <v>171</v>
      </c>
      <c r="D972" s="31" t="s">
        <v>169</v>
      </c>
      <c r="E972" s="31" t="s">
        <v>729</v>
      </c>
      <c r="F972" s="32" t="s">
        <v>116</v>
      </c>
    </row>
    <row r="973" spans="1:6">
      <c r="A973" s="29">
        <v>68502</v>
      </c>
      <c r="B973" s="31" t="s">
        <v>1555</v>
      </c>
      <c r="C973" s="31" t="s">
        <v>171</v>
      </c>
      <c r="D973" s="31" t="s">
        <v>169</v>
      </c>
      <c r="E973" s="31" t="s">
        <v>729</v>
      </c>
      <c r="F973" s="32" t="s">
        <v>176</v>
      </c>
    </row>
    <row r="974" spans="1:6">
      <c r="A974" s="29">
        <v>68522</v>
      </c>
      <c r="B974" s="31" t="s">
        <v>1556</v>
      </c>
      <c r="C974" s="31" t="s">
        <v>171</v>
      </c>
      <c r="D974" s="31" t="s">
        <v>169</v>
      </c>
      <c r="E974" s="31" t="s">
        <v>729</v>
      </c>
      <c r="F974" s="32" t="s">
        <v>116</v>
      </c>
    </row>
    <row r="975" spans="1:6">
      <c r="A975" s="29">
        <v>68524</v>
      </c>
      <c r="B975" s="31" t="s">
        <v>1557</v>
      </c>
      <c r="C975" s="31" t="s">
        <v>171</v>
      </c>
      <c r="D975" s="31" t="s">
        <v>169</v>
      </c>
      <c r="E975" s="31" t="s">
        <v>729</v>
      </c>
      <c r="F975" s="32" t="s">
        <v>116</v>
      </c>
    </row>
    <row r="976" spans="1:6">
      <c r="A976" s="29">
        <v>68533</v>
      </c>
      <c r="B976" s="31" t="s">
        <v>1558</v>
      </c>
      <c r="C976" s="31" t="s">
        <v>171</v>
      </c>
      <c r="D976" s="31" t="s">
        <v>169</v>
      </c>
      <c r="E976" s="31" t="s">
        <v>729</v>
      </c>
      <c r="F976" s="32" t="s">
        <v>116</v>
      </c>
    </row>
    <row r="977" spans="1:6">
      <c r="A977" s="29">
        <v>68547</v>
      </c>
      <c r="B977" s="31" t="s">
        <v>1559</v>
      </c>
      <c r="C977" s="31" t="s">
        <v>171</v>
      </c>
      <c r="D977" s="31" t="s">
        <v>169</v>
      </c>
      <c r="E977" s="31" t="s">
        <v>729</v>
      </c>
      <c r="F977" s="32" t="s">
        <v>125</v>
      </c>
    </row>
    <row r="978" spans="1:6">
      <c r="A978" s="29">
        <v>68549</v>
      </c>
      <c r="B978" s="31" t="s">
        <v>1560</v>
      </c>
      <c r="C978" s="31" t="s">
        <v>171</v>
      </c>
      <c r="D978" s="31" t="s">
        <v>169</v>
      </c>
      <c r="E978" s="31" t="s">
        <v>729</v>
      </c>
      <c r="F978" s="32" t="s">
        <v>116</v>
      </c>
    </row>
    <row r="979" spans="1:6">
      <c r="A979" s="29">
        <v>68572</v>
      </c>
      <c r="B979" s="31" t="s">
        <v>1561</v>
      </c>
      <c r="C979" s="31" t="s">
        <v>171</v>
      </c>
      <c r="D979" s="31" t="s">
        <v>152</v>
      </c>
      <c r="E979" s="31" t="s">
        <v>729</v>
      </c>
      <c r="F979" s="32" t="s">
        <v>125</v>
      </c>
    </row>
    <row r="980" spans="1:6">
      <c r="A980" s="29">
        <v>68573</v>
      </c>
      <c r="B980" s="31" t="s">
        <v>1562</v>
      </c>
      <c r="C980" s="31" t="s">
        <v>171</v>
      </c>
      <c r="D980" s="31" t="s">
        <v>169</v>
      </c>
      <c r="E980" s="31" t="s">
        <v>729</v>
      </c>
      <c r="F980" s="32" t="s">
        <v>116</v>
      </c>
    </row>
    <row r="981" spans="1:6">
      <c r="A981" s="29">
        <v>68575</v>
      </c>
      <c r="B981" s="31" t="s">
        <v>1563</v>
      </c>
      <c r="C981" s="31" t="s">
        <v>171</v>
      </c>
      <c r="D981" s="31" t="s">
        <v>169</v>
      </c>
      <c r="E981" s="31" t="s">
        <v>729</v>
      </c>
      <c r="F981" s="32" t="s">
        <v>176</v>
      </c>
    </row>
    <row r="982" spans="1:6">
      <c r="A982" s="29">
        <v>68655</v>
      </c>
      <c r="B982" s="31" t="s">
        <v>1564</v>
      </c>
      <c r="C982" s="31" t="s">
        <v>171</v>
      </c>
      <c r="D982" s="31" t="s">
        <v>169</v>
      </c>
      <c r="E982" s="31" t="s">
        <v>729</v>
      </c>
      <c r="F982" s="32" t="s">
        <v>116</v>
      </c>
    </row>
    <row r="983" spans="1:6">
      <c r="A983" s="29">
        <v>68673</v>
      </c>
      <c r="B983" s="31" t="s">
        <v>1565</v>
      </c>
      <c r="C983" s="31" t="s">
        <v>171</v>
      </c>
      <c r="D983" s="31" t="s">
        <v>169</v>
      </c>
      <c r="E983" s="31" t="s">
        <v>729</v>
      </c>
      <c r="F983" s="32" t="s">
        <v>176</v>
      </c>
    </row>
    <row r="984" spans="1:6">
      <c r="A984" s="29">
        <v>68679</v>
      </c>
      <c r="B984" s="31" t="s">
        <v>1566</v>
      </c>
      <c r="C984" s="31" t="s">
        <v>171</v>
      </c>
      <c r="D984" s="31" t="s">
        <v>169</v>
      </c>
      <c r="E984" s="31" t="s">
        <v>729</v>
      </c>
      <c r="F984" s="32" t="s">
        <v>125</v>
      </c>
    </row>
    <row r="985" spans="1:6">
      <c r="A985" s="29">
        <v>68682</v>
      </c>
      <c r="B985" s="31" t="s">
        <v>1567</v>
      </c>
      <c r="C985" s="31" t="s">
        <v>171</v>
      </c>
      <c r="D985" s="31" t="s">
        <v>169</v>
      </c>
      <c r="E985" s="31" t="s">
        <v>729</v>
      </c>
      <c r="F985" s="32" t="s">
        <v>176</v>
      </c>
    </row>
    <row r="986" spans="1:6">
      <c r="A986" s="29">
        <v>68684</v>
      </c>
      <c r="B986" s="31" t="s">
        <v>1568</v>
      </c>
      <c r="C986" s="31" t="s">
        <v>171</v>
      </c>
      <c r="D986" s="31" t="s">
        <v>169</v>
      </c>
      <c r="E986" s="31" t="s">
        <v>729</v>
      </c>
      <c r="F986" s="32" t="s">
        <v>176</v>
      </c>
    </row>
    <row r="987" spans="1:6">
      <c r="A987" s="29">
        <v>68689</v>
      </c>
      <c r="B987" s="31" t="s">
        <v>1569</v>
      </c>
      <c r="C987" s="31" t="s">
        <v>171</v>
      </c>
      <c r="D987" s="31" t="s">
        <v>169</v>
      </c>
      <c r="E987" s="31" t="s">
        <v>729</v>
      </c>
      <c r="F987" s="32" t="s">
        <v>116</v>
      </c>
    </row>
    <row r="988" spans="1:6">
      <c r="A988" s="29">
        <v>68720</v>
      </c>
      <c r="B988" s="31" t="s">
        <v>1570</v>
      </c>
      <c r="C988" s="31" t="s">
        <v>171</v>
      </c>
      <c r="D988" s="31" t="s">
        <v>169</v>
      </c>
      <c r="E988" s="31" t="s">
        <v>729</v>
      </c>
      <c r="F988" s="32" t="s">
        <v>176</v>
      </c>
    </row>
    <row r="989" spans="1:6">
      <c r="A989" s="29">
        <v>68745</v>
      </c>
      <c r="B989" s="31" t="s">
        <v>1571</v>
      </c>
      <c r="C989" s="31" t="s">
        <v>171</v>
      </c>
      <c r="D989" s="31" t="s">
        <v>169</v>
      </c>
      <c r="E989" s="31" t="s">
        <v>729</v>
      </c>
      <c r="F989" s="32" t="s">
        <v>116</v>
      </c>
    </row>
    <row r="990" spans="1:6">
      <c r="A990" s="29">
        <v>68755</v>
      </c>
      <c r="B990" s="31" t="s">
        <v>1572</v>
      </c>
      <c r="C990" s="31" t="s">
        <v>171</v>
      </c>
      <c r="D990" s="31" t="s">
        <v>169</v>
      </c>
      <c r="E990" s="31" t="s">
        <v>729</v>
      </c>
      <c r="F990" s="32" t="s">
        <v>116</v>
      </c>
    </row>
    <row r="991" spans="1:6">
      <c r="A991" s="29">
        <v>68770</v>
      </c>
      <c r="B991" s="31" t="s">
        <v>1573</v>
      </c>
      <c r="C991" s="31" t="s">
        <v>171</v>
      </c>
      <c r="D991" s="31" t="s">
        <v>169</v>
      </c>
      <c r="E991" s="31" t="s">
        <v>729</v>
      </c>
      <c r="F991" s="32" t="s">
        <v>116</v>
      </c>
    </row>
    <row r="992" spans="1:6">
      <c r="A992" s="29">
        <v>68780</v>
      </c>
      <c r="B992" s="31" t="s">
        <v>1574</v>
      </c>
      <c r="C992" s="31" t="s">
        <v>171</v>
      </c>
      <c r="D992" s="31" t="s">
        <v>169</v>
      </c>
      <c r="E992" s="31" t="s">
        <v>729</v>
      </c>
      <c r="F992" s="32" t="s">
        <v>116</v>
      </c>
    </row>
    <row r="993" spans="1:6">
      <c r="A993" s="29">
        <v>68820</v>
      </c>
      <c r="B993" s="31" t="s">
        <v>1575</v>
      </c>
      <c r="C993" s="31" t="s">
        <v>171</v>
      </c>
      <c r="D993" s="31" t="s">
        <v>169</v>
      </c>
      <c r="E993" s="31" t="s">
        <v>729</v>
      </c>
      <c r="F993" s="32" t="s">
        <v>125</v>
      </c>
    </row>
    <row r="994" spans="1:6">
      <c r="A994" s="29">
        <v>68855</v>
      </c>
      <c r="B994" s="31" t="s">
        <v>1576</v>
      </c>
      <c r="C994" s="31" t="s">
        <v>171</v>
      </c>
      <c r="D994" s="31" t="s">
        <v>169</v>
      </c>
      <c r="E994" s="31" t="s">
        <v>729</v>
      </c>
      <c r="F994" s="32" t="s">
        <v>116</v>
      </c>
    </row>
    <row r="995" spans="1:6">
      <c r="A995" s="29">
        <v>68861</v>
      </c>
      <c r="B995" s="31" t="s">
        <v>1577</v>
      </c>
      <c r="C995" s="31" t="s">
        <v>171</v>
      </c>
      <c r="D995" s="31" t="s">
        <v>152</v>
      </c>
      <c r="E995" s="31" t="s">
        <v>729</v>
      </c>
      <c r="F995" s="32" t="s">
        <v>125</v>
      </c>
    </row>
    <row r="996" spans="1:6">
      <c r="A996" s="29">
        <v>68867</v>
      </c>
      <c r="B996" s="31" t="s">
        <v>1578</v>
      </c>
      <c r="C996" s="31" t="s">
        <v>171</v>
      </c>
      <c r="D996" s="31" t="s">
        <v>247</v>
      </c>
      <c r="E996" s="31" t="s">
        <v>729</v>
      </c>
      <c r="F996" s="32" t="s">
        <v>176</v>
      </c>
    </row>
    <row r="997" spans="1:6">
      <c r="A997" s="29">
        <v>68895</v>
      </c>
      <c r="B997" s="31" t="s">
        <v>1579</v>
      </c>
      <c r="C997" s="31" t="s">
        <v>171</v>
      </c>
      <c r="D997" s="31" t="s">
        <v>169</v>
      </c>
      <c r="E997" s="31" t="s">
        <v>729</v>
      </c>
      <c r="F997" s="32" t="s">
        <v>116</v>
      </c>
    </row>
    <row r="998" spans="1:6">
      <c r="A998" s="29">
        <v>70110</v>
      </c>
      <c r="B998" s="30" t="s">
        <v>911</v>
      </c>
      <c r="C998" s="31" t="s">
        <v>1088</v>
      </c>
      <c r="D998" s="31" t="s">
        <v>1580</v>
      </c>
      <c r="E998" s="31" t="s">
        <v>729</v>
      </c>
      <c r="F998" s="32" t="s">
        <v>125</v>
      </c>
    </row>
    <row r="999" spans="1:6">
      <c r="A999" s="29">
        <v>70400</v>
      </c>
      <c r="B999" s="30" t="s">
        <v>739</v>
      </c>
      <c r="C999" s="31" t="s">
        <v>1088</v>
      </c>
      <c r="D999" s="31" t="s">
        <v>1580</v>
      </c>
      <c r="E999" s="31" t="s">
        <v>729</v>
      </c>
      <c r="F999" s="32" t="s">
        <v>125</v>
      </c>
    </row>
    <row r="1000" spans="1:6">
      <c r="A1000" s="29">
        <v>70717</v>
      </c>
      <c r="B1000" s="30" t="s">
        <v>1581</v>
      </c>
      <c r="C1000" s="31" t="s">
        <v>1088</v>
      </c>
      <c r="D1000" s="31" t="s">
        <v>1580</v>
      </c>
      <c r="E1000" s="31" t="s">
        <v>729</v>
      </c>
      <c r="F1000" s="32" t="s">
        <v>125</v>
      </c>
    </row>
    <row r="1001" spans="1:6">
      <c r="A1001" s="29">
        <v>70771</v>
      </c>
      <c r="B1001" s="30" t="s">
        <v>1088</v>
      </c>
      <c r="C1001" s="31" t="s">
        <v>1088</v>
      </c>
      <c r="D1001" s="31" t="s">
        <v>1580</v>
      </c>
      <c r="E1001" s="31" t="s">
        <v>729</v>
      </c>
      <c r="F1001" s="32" t="s">
        <v>93</v>
      </c>
    </row>
    <row r="1002" spans="1:6">
      <c r="A1002" s="29">
        <v>70124</v>
      </c>
      <c r="B1002" s="31" t="s">
        <v>1582</v>
      </c>
      <c r="C1002" s="31" t="s">
        <v>1088</v>
      </c>
      <c r="D1002" s="31" t="s">
        <v>1580</v>
      </c>
      <c r="E1002" s="31" t="s">
        <v>729</v>
      </c>
      <c r="F1002" s="32" t="s">
        <v>176</v>
      </c>
    </row>
    <row r="1003" spans="1:6">
      <c r="A1003" s="29">
        <v>70230</v>
      </c>
      <c r="B1003" s="31" t="s">
        <v>1583</v>
      </c>
      <c r="C1003" s="31" t="s">
        <v>1088</v>
      </c>
      <c r="D1003" s="31" t="s">
        <v>1580</v>
      </c>
      <c r="E1003" s="31" t="s">
        <v>729</v>
      </c>
      <c r="F1003" s="32" t="s">
        <v>116</v>
      </c>
    </row>
    <row r="1004" spans="1:6">
      <c r="A1004" s="29">
        <v>70204</v>
      </c>
      <c r="B1004" s="31" t="s">
        <v>1584</v>
      </c>
      <c r="C1004" s="31" t="s">
        <v>1088</v>
      </c>
      <c r="D1004" s="31" t="s">
        <v>1580</v>
      </c>
      <c r="E1004" s="31" t="s">
        <v>729</v>
      </c>
      <c r="F1004" s="32" t="s">
        <v>116</v>
      </c>
    </row>
    <row r="1005" spans="1:6">
      <c r="A1005" s="29">
        <v>70215</v>
      </c>
      <c r="B1005" s="31" t="s">
        <v>1585</v>
      </c>
      <c r="C1005" s="31" t="s">
        <v>1088</v>
      </c>
      <c r="D1005" s="31" t="s">
        <v>1580</v>
      </c>
      <c r="E1005" s="31" t="s">
        <v>729</v>
      </c>
      <c r="F1005" s="32" t="s">
        <v>125</v>
      </c>
    </row>
    <row r="1006" spans="1:6">
      <c r="A1006" s="29">
        <v>70221</v>
      </c>
      <c r="B1006" s="31" t="s">
        <v>1586</v>
      </c>
      <c r="C1006" s="31" t="s">
        <v>1088</v>
      </c>
      <c r="D1006" s="31" t="s">
        <v>1580</v>
      </c>
      <c r="E1006" s="31" t="s">
        <v>729</v>
      </c>
      <c r="F1006" s="32" t="s">
        <v>125</v>
      </c>
    </row>
    <row r="1007" spans="1:6">
      <c r="A1007" s="29">
        <v>70233</v>
      </c>
      <c r="B1007" s="31" t="s">
        <v>1587</v>
      </c>
      <c r="C1007" s="31" t="s">
        <v>1088</v>
      </c>
      <c r="D1007" s="31" t="s">
        <v>1580</v>
      </c>
      <c r="E1007" s="31" t="s">
        <v>729</v>
      </c>
      <c r="F1007" s="32" t="s">
        <v>125</v>
      </c>
    </row>
    <row r="1008" spans="1:6">
      <c r="A1008" s="29">
        <v>70235</v>
      </c>
      <c r="B1008" s="31" t="s">
        <v>1588</v>
      </c>
      <c r="C1008" s="31" t="s">
        <v>1088</v>
      </c>
      <c r="D1008" s="31" t="s">
        <v>1580</v>
      </c>
      <c r="E1008" s="31" t="s">
        <v>729</v>
      </c>
      <c r="F1008" s="32" t="s">
        <v>125</v>
      </c>
    </row>
    <row r="1009" spans="1:6">
      <c r="A1009" s="29">
        <v>70265</v>
      </c>
      <c r="B1009" s="31" t="s">
        <v>1589</v>
      </c>
      <c r="C1009" s="31" t="s">
        <v>1088</v>
      </c>
      <c r="D1009" s="31" t="s">
        <v>1580</v>
      </c>
      <c r="E1009" s="31" t="s">
        <v>729</v>
      </c>
      <c r="F1009" s="32" t="s">
        <v>176</v>
      </c>
    </row>
    <row r="1010" spans="1:6">
      <c r="A1010" s="29">
        <v>70418</v>
      </c>
      <c r="B1010" s="31" t="s">
        <v>1590</v>
      </c>
      <c r="C1010" s="31" t="s">
        <v>1088</v>
      </c>
      <c r="D1010" s="31" t="s">
        <v>1580</v>
      </c>
      <c r="E1010" s="31" t="s">
        <v>729</v>
      </c>
      <c r="F1010" s="32" t="s">
        <v>125</v>
      </c>
    </row>
    <row r="1011" spans="1:6">
      <c r="A1011" s="29">
        <v>70429</v>
      </c>
      <c r="B1011" s="31" t="s">
        <v>1591</v>
      </c>
      <c r="C1011" s="31" t="s">
        <v>1088</v>
      </c>
      <c r="D1011" s="31" t="s">
        <v>1580</v>
      </c>
      <c r="E1011" s="31" t="s">
        <v>799</v>
      </c>
      <c r="F1011" s="32" t="s">
        <v>176</v>
      </c>
    </row>
    <row r="1012" spans="1:6">
      <c r="A1012" s="29">
        <v>70473</v>
      </c>
      <c r="B1012" s="31" t="s">
        <v>1592</v>
      </c>
      <c r="C1012" s="31" t="s">
        <v>1088</v>
      </c>
      <c r="D1012" s="31" t="s">
        <v>1580</v>
      </c>
      <c r="E1012" s="31" t="s">
        <v>729</v>
      </c>
      <c r="F1012" s="32" t="s">
        <v>125</v>
      </c>
    </row>
    <row r="1013" spans="1:6">
      <c r="A1013" s="29">
        <v>70508</v>
      </c>
      <c r="B1013" s="31" t="s">
        <v>1593</v>
      </c>
      <c r="C1013" s="31" t="s">
        <v>1088</v>
      </c>
      <c r="D1013" s="31" t="s">
        <v>1580</v>
      </c>
      <c r="E1013" s="31" t="s">
        <v>729</v>
      </c>
      <c r="F1013" s="32" t="s">
        <v>125</v>
      </c>
    </row>
    <row r="1014" spans="1:6">
      <c r="A1014" s="29">
        <v>70523</v>
      </c>
      <c r="B1014" s="31" t="s">
        <v>1594</v>
      </c>
      <c r="C1014" s="31" t="s">
        <v>1088</v>
      </c>
      <c r="D1014" s="31" t="s">
        <v>1580</v>
      </c>
      <c r="E1014" s="31" t="s">
        <v>729</v>
      </c>
      <c r="F1014" s="32" t="s">
        <v>125</v>
      </c>
    </row>
    <row r="1015" spans="1:6">
      <c r="A1015" s="29">
        <v>70670</v>
      </c>
      <c r="B1015" s="31" t="s">
        <v>1595</v>
      </c>
      <c r="C1015" s="31" t="s">
        <v>1088</v>
      </c>
      <c r="D1015" s="31" t="s">
        <v>1580</v>
      </c>
      <c r="E1015" s="31" t="s">
        <v>729</v>
      </c>
      <c r="F1015" s="32" t="s">
        <v>125</v>
      </c>
    </row>
    <row r="1016" spans="1:6">
      <c r="A1016" s="29">
        <v>70678</v>
      </c>
      <c r="B1016" s="31" t="s">
        <v>1596</v>
      </c>
      <c r="C1016" s="31" t="s">
        <v>1088</v>
      </c>
      <c r="D1016" s="31" t="s">
        <v>1580</v>
      </c>
      <c r="E1016" s="31" t="s">
        <v>729</v>
      </c>
      <c r="F1016" s="32" t="s">
        <v>125</v>
      </c>
    </row>
    <row r="1017" spans="1:6">
      <c r="A1017" s="29">
        <v>70702</v>
      </c>
      <c r="B1017" s="31" t="s">
        <v>1597</v>
      </c>
      <c r="C1017" s="31" t="s">
        <v>1088</v>
      </c>
      <c r="D1017" s="31" t="s">
        <v>1580</v>
      </c>
      <c r="E1017" s="31" t="s">
        <v>729</v>
      </c>
      <c r="F1017" s="32" t="s">
        <v>125</v>
      </c>
    </row>
    <row r="1018" spans="1:6">
      <c r="A1018" s="29">
        <v>70742</v>
      </c>
      <c r="B1018" s="31" t="s">
        <v>1598</v>
      </c>
      <c r="C1018" s="31" t="s">
        <v>1088</v>
      </c>
      <c r="D1018" s="31" t="s">
        <v>1580</v>
      </c>
      <c r="E1018" s="31" t="s">
        <v>729</v>
      </c>
      <c r="F1018" s="32" t="s">
        <v>125</v>
      </c>
    </row>
    <row r="1019" spans="1:6">
      <c r="A1019" s="29">
        <v>70708</v>
      </c>
      <c r="B1019" s="31" t="s">
        <v>1599</v>
      </c>
      <c r="C1019" s="31" t="s">
        <v>1088</v>
      </c>
      <c r="D1019" s="31" t="s">
        <v>1580</v>
      </c>
      <c r="E1019" s="31" t="s">
        <v>729</v>
      </c>
      <c r="F1019" s="32" t="s">
        <v>116</v>
      </c>
    </row>
    <row r="1020" spans="1:6">
      <c r="A1020" s="29">
        <v>70713</v>
      </c>
      <c r="B1020" s="31" t="s">
        <v>1600</v>
      </c>
      <c r="C1020" s="31" t="s">
        <v>1088</v>
      </c>
      <c r="D1020" s="31" t="s">
        <v>1580</v>
      </c>
      <c r="E1020" s="31" t="s">
        <v>729</v>
      </c>
      <c r="F1020" s="32" t="s">
        <v>125</v>
      </c>
    </row>
    <row r="1021" spans="1:6">
      <c r="A1021" s="29">
        <v>70820</v>
      </c>
      <c r="B1021" s="31" t="s">
        <v>1601</v>
      </c>
      <c r="C1021" s="31" t="s">
        <v>1088</v>
      </c>
      <c r="D1021" s="31" t="s">
        <v>1580</v>
      </c>
      <c r="E1021" s="31" t="s">
        <v>729</v>
      </c>
      <c r="F1021" s="32" t="s">
        <v>125</v>
      </c>
    </row>
    <row r="1022" spans="1:6">
      <c r="A1022" s="29">
        <v>70001</v>
      </c>
      <c r="B1022" s="31" t="s">
        <v>1580</v>
      </c>
      <c r="C1022" s="31" t="s">
        <v>1088</v>
      </c>
      <c r="D1022" s="31" t="s">
        <v>1580</v>
      </c>
      <c r="E1022" s="31" t="s">
        <v>729</v>
      </c>
      <c r="F1022" s="32" t="s">
        <v>104</v>
      </c>
    </row>
    <row r="1023" spans="1:6">
      <c r="A1023" s="29">
        <v>70823</v>
      </c>
      <c r="B1023" s="31" t="s">
        <v>1602</v>
      </c>
      <c r="C1023" s="31" t="s">
        <v>1088</v>
      </c>
      <c r="D1023" s="31" t="s">
        <v>1580</v>
      </c>
      <c r="E1023" s="31" t="s">
        <v>729</v>
      </c>
      <c r="F1023" s="32" t="s">
        <v>125</v>
      </c>
    </row>
    <row r="1024" spans="1:6">
      <c r="A1024" s="29">
        <v>73678</v>
      </c>
      <c r="B1024" s="30" t="s">
        <v>618</v>
      </c>
      <c r="C1024" s="31" t="s">
        <v>120</v>
      </c>
      <c r="D1024" s="31" t="s">
        <v>118</v>
      </c>
      <c r="E1024" s="31" t="s">
        <v>729</v>
      </c>
      <c r="F1024" s="32" t="s">
        <v>125</v>
      </c>
    </row>
    <row r="1025" spans="1:6">
      <c r="A1025" s="29">
        <v>73770</v>
      </c>
      <c r="B1025" s="30" t="s">
        <v>1087</v>
      </c>
      <c r="C1025" s="31" t="s">
        <v>120</v>
      </c>
      <c r="D1025" s="31" t="s">
        <v>118</v>
      </c>
      <c r="E1025" s="31" t="s">
        <v>729</v>
      </c>
      <c r="F1025" s="32" t="s">
        <v>125</v>
      </c>
    </row>
    <row r="1026" spans="1:6">
      <c r="A1026" s="29">
        <v>73024</v>
      </c>
      <c r="B1026" s="31" t="s">
        <v>1603</v>
      </c>
      <c r="C1026" s="31" t="s">
        <v>120</v>
      </c>
      <c r="D1026" s="31" t="s">
        <v>118</v>
      </c>
      <c r="E1026" s="31" t="s">
        <v>729</v>
      </c>
      <c r="F1026" s="32" t="s">
        <v>176</v>
      </c>
    </row>
    <row r="1027" spans="1:6">
      <c r="A1027" s="29">
        <v>73026</v>
      </c>
      <c r="B1027" s="31" t="s">
        <v>1604</v>
      </c>
      <c r="C1027" s="31" t="s">
        <v>120</v>
      </c>
      <c r="D1027" s="31" t="s">
        <v>118</v>
      </c>
      <c r="E1027" s="31" t="s">
        <v>729</v>
      </c>
      <c r="F1027" s="32" t="s">
        <v>125</v>
      </c>
    </row>
    <row r="1028" spans="1:6">
      <c r="A1028" s="29">
        <v>73030</v>
      </c>
      <c r="B1028" s="31" t="s">
        <v>1605</v>
      </c>
      <c r="C1028" s="31" t="s">
        <v>120</v>
      </c>
      <c r="D1028" s="31" t="s">
        <v>118</v>
      </c>
      <c r="E1028" s="31" t="s">
        <v>729</v>
      </c>
      <c r="F1028" s="32" t="s">
        <v>125</v>
      </c>
    </row>
    <row r="1029" spans="1:6">
      <c r="A1029" s="29">
        <v>73043</v>
      </c>
      <c r="B1029" s="31" t="s">
        <v>1606</v>
      </c>
      <c r="C1029" s="31" t="s">
        <v>120</v>
      </c>
      <c r="D1029" s="31" t="s">
        <v>118</v>
      </c>
      <c r="E1029" s="31" t="s">
        <v>729</v>
      </c>
      <c r="F1029" s="32" t="s">
        <v>125</v>
      </c>
    </row>
    <row r="1030" spans="1:6">
      <c r="A1030" s="29">
        <v>73055</v>
      </c>
      <c r="B1030" s="31" t="s">
        <v>1607</v>
      </c>
      <c r="C1030" s="31" t="s">
        <v>120</v>
      </c>
      <c r="D1030" s="31" t="s">
        <v>118</v>
      </c>
      <c r="E1030" s="31" t="s">
        <v>729</v>
      </c>
      <c r="F1030" s="32" t="s">
        <v>125</v>
      </c>
    </row>
    <row r="1031" spans="1:6">
      <c r="A1031" s="29">
        <v>73067</v>
      </c>
      <c r="B1031" s="31" t="s">
        <v>1608</v>
      </c>
      <c r="C1031" s="31" t="s">
        <v>120</v>
      </c>
      <c r="D1031" s="31" t="s">
        <v>118</v>
      </c>
      <c r="E1031" s="31" t="s">
        <v>729</v>
      </c>
      <c r="F1031" s="32" t="s">
        <v>116</v>
      </c>
    </row>
    <row r="1032" spans="1:6">
      <c r="A1032" s="29">
        <v>73124</v>
      </c>
      <c r="B1032" s="31" t="s">
        <v>1609</v>
      </c>
      <c r="C1032" s="31" t="s">
        <v>120</v>
      </c>
      <c r="D1032" s="31" t="s">
        <v>118</v>
      </c>
      <c r="E1032" s="31" t="s">
        <v>729</v>
      </c>
      <c r="F1032" s="32" t="s">
        <v>125</v>
      </c>
    </row>
    <row r="1033" spans="1:6">
      <c r="A1033" s="29">
        <v>73148</v>
      </c>
      <c r="B1033" s="31" t="s">
        <v>1610</v>
      </c>
      <c r="C1033" s="31" t="s">
        <v>120</v>
      </c>
      <c r="D1033" s="31" t="s">
        <v>138</v>
      </c>
      <c r="E1033" s="31" t="s">
        <v>729</v>
      </c>
      <c r="F1033" s="32" t="s">
        <v>125</v>
      </c>
    </row>
    <row r="1034" spans="1:6">
      <c r="A1034" s="29">
        <v>73152</v>
      </c>
      <c r="B1034" s="31" t="s">
        <v>1611</v>
      </c>
      <c r="C1034" s="31" t="s">
        <v>120</v>
      </c>
      <c r="D1034" s="31" t="s">
        <v>118</v>
      </c>
      <c r="E1034" s="31" t="s">
        <v>729</v>
      </c>
      <c r="F1034" s="32" t="s">
        <v>116</v>
      </c>
    </row>
    <row r="1035" spans="1:6">
      <c r="A1035" s="29">
        <v>73168</v>
      </c>
      <c r="B1035" s="31" t="s">
        <v>1612</v>
      </c>
      <c r="C1035" s="31" t="s">
        <v>120</v>
      </c>
      <c r="D1035" s="31" t="s">
        <v>118</v>
      </c>
      <c r="E1035" s="31" t="s">
        <v>729</v>
      </c>
      <c r="F1035" s="32" t="s">
        <v>116</v>
      </c>
    </row>
    <row r="1036" spans="1:6">
      <c r="A1036" s="29">
        <v>73200</v>
      </c>
      <c r="B1036" s="31" t="s">
        <v>1613</v>
      </c>
      <c r="C1036" s="31" t="s">
        <v>120</v>
      </c>
      <c r="D1036" s="31" t="s">
        <v>118</v>
      </c>
      <c r="E1036" s="31" t="s">
        <v>729</v>
      </c>
      <c r="F1036" s="32" t="s">
        <v>125</v>
      </c>
    </row>
    <row r="1037" spans="1:6">
      <c r="A1037" s="29">
        <v>73217</v>
      </c>
      <c r="B1037" s="31" t="s">
        <v>1614</v>
      </c>
      <c r="C1037" s="31" t="s">
        <v>120</v>
      </c>
      <c r="D1037" s="31" t="s">
        <v>118</v>
      </c>
      <c r="E1037" s="31" t="s">
        <v>729</v>
      </c>
      <c r="F1037" s="32" t="s">
        <v>116</v>
      </c>
    </row>
    <row r="1038" spans="1:6">
      <c r="A1038" s="29">
        <v>73226</v>
      </c>
      <c r="B1038" s="31" t="s">
        <v>1615</v>
      </c>
      <c r="C1038" s="31" t="s">
        <v>120</v>
      </c>
      <c r="D1038" s="31" t="s">
        <v>118</v>
      </c>
      <c r="E1038" s="31" t="s">
        <v>729</v>
      </c>
      <c r="F1038" s="32" t="s">
        <v>125</v>
      </c>
    </row>
    <row r="1039" spans="1:6">
      <c r="A1039" s="29">
        <v>73236</v>
      </c>
      <c r="B1039" s="31" t="s">
        <v>1616</v>
      </c>
      <c r="C1039" s="31" t="s">
        <v>120</v>
      </c>
      <c r="D1039" s="31" t="s">
        <v>118</v>
      </c>
      <c r="E1039" s="31" t="s">
        <v>729</v>
      </c>
      <c r="F1039" s="32" t="s">
        <v>176</v>
      </c>
    </row>
    <row r="1040" spans="1:6">
      <c r="A1040" s="29">
        <v>73268</v>
      </c>
      <c r="B1040" s="31" t="s">
        <v>1617</v>
      </c>
      <c r="C1040" s="31" t="s">
        <v>120</v>
      </c>
      <c r="D1040" s="31" t="s">
        <v>118</v>
      </c>
      <c r="E1040" s="31" t="s">
        <v>729</v>
      </c>
      <c r="F1040" s="32" t="s">
        <v>125</v>
      </c>
    </row>
    <row r="1041" spans="1:6">
      <c r="A1041" s="29">
        <v>73270</v>
      </c>
      <c r="B1041" s="31" t="s">
        <v>1618</v>
      </c>
      <c r="C1041" s="31" t="s">
        <v>120</v>
      </c>
      <c r="D1041" s="31" t="s">
        <v>118</v>
      </c>
      <c r="E1041" s="31" t="s">
        <v>729</v>
      </c>
      <c r="F1041" s="32" t="s">
        <v>116</v>
      </c>
    </row>
    <row r="1042" spans="1:6">
      <c r="A1042" s="29">
        <v>73275</v>
      </c>
      <c r="B1042" s="31" t="s">
        <v>1619</v>
      </c>
      <c r="C1042" s="31" t="s">
        <v>120</v>
      </c>
      <c r="D1042" s="31" t="s">
        <v>118</v>
      </c>
      <c r="E1042" s="31" t="s">
        <v>729</v>
      </c>
      <c r="F1042" s="32" t="s">
        <v>125</v>
      </c>
    </row>
    <row r="1043" spans="1:6">
      <c r="A1043" s="29">
        <v>73283</v>
      </c>
      <c r="B1043" s="31" t="s">
        <v>1620</v>
      </c>
      <c r="C1043" s="31" t="s">
        <v>120</v>
      </c>
      <c r="D1043" s="31" t="s">
        <v>118</v>
      </c>
      <c r="E1043" s="31" t="s">
        <v>729</v>
      </c>
      <c r="F1043" s="32" t="s">
        <v>116</v>
      </c>
    </row>
    <row r="1044" spans="1:6">
      <c r="A1044" s="29">
        <v>73319</v>
      </c>
      <c r="B1044" s="31" t="s">
        <v>1621</v>
      </c>
      <c r="C1044" s="31" t="s">
        <v>120</v>
      </c>
      <c r="D1044" s="31" t="s">
        <v>118</v>
      </c>
      <c r="E1044" s="31" t="s">
        <v>729</v>
      </c>
      <c r="F1044" s="32" t="s">
        <v>125</v>
      </c>
    </row>
    <row r="1045" spans="1:6">
      <c r="A1045" s="29">
        <v>73347</v>
      </c>
      <c r="B1045" s="31" t="s">
        <v>1622</v>
      </c>
      <c r="C1045" s="31" t="s">
        <v>120</v>
      </c>
      <c r="D1045" s="31" t="s">
        <v>1028</v>
      </c>
      <c r="E1045" s="31" t="s">
        <v>729</v>
      </c>
      <c r="F1045" s="32" t="s">
        <v>116</v>
      </c>
    </row>
    <row r="1046" spans="1:6">
      <c r="A1046" s="29">
        <v>73349</v>
      </c>
      <c r="B1046" s="31" t="s">
        <v>1623</v>
      </c>
      <c r="C1046" s="31" t="s">
        <v>120</v>
      </c>
      <c r="D1046" s="31" t="s">
        <v>118</v>
      </c>
      <c r="E1046" s="31" t="s">
        <v>729</v>
      </c>
      <c r="F1046" s="32" t="s">
        <v>116</v>
      </c>
    </row>
    <row r="1047" spans="1:6">
      <c r="A1047" s="29">
        <v>73001</v>
      </c>
      <c r="B1047" s="31" t="s">
        <v>118</v>
      </c>
      <c r="C1047" s="31" t="s">
        <v>120</v>
      </c>
      <c r="D1047" s="31" t="s">
        <v>118</v>
      </c>
      <c r="E1047" s="31" t="s">
        <v>729</v>
      </c>
      <c r="F1047" s="32" t="s">
        <v>104</v>
      </c>
    </row>
    <row r="1048" spans="1:6">
      <c r="A1048" s="29">
        <v>73352</v>
      </c>
      <c r="B1048" s="31" t="s">
        <v>1624</v>
      </c>
      <c r="C1048" s="31" t="s">
        <v>120</v>
      </c>
      <c r="D1048" s="31" t="s">
        <v>118</v>
      </c>
      <c r="E1048" s="31" t="s">
        <v>729</v>
      </c>
      <c r="F1048" s="32" t="s">
        <v>116</v>
      </c>
    </row>
    <row r="1049" spans="1:6">
      <c r="A1049" s="29">
        <v>73408</v>
      </c>
      <c r="B1049" s="31" t="s">
        <v>1625</v>
      </c>
      <c r="C1049" s="31" t="s">
        <v>120</v>
      </c>
      <c r="D1049" s="31" t="s">
        <v>118</v>
      </c>
      <c r="E1049" s="31" t="s">
        <v>729</v>
      </c>
      <c r="F1049" s="32" t="s">
        <v>125</v>
      </c>
    </row>
    <row r="1050" spans="1:6">
      <c r="A1050" s="29">
        <v>73411</v>
      </c>
      <c r="B1050" s="31" t="s">
        <v>1626</v>
      </c>
      <c r="C1050" s="31" t="s">
        <v>120</v>
      </c>
      <c r="D1050" s="31" t="s">
        <v>118</v>
      </c>
      <c r="E1050" s="31" t="s">
        <v>729</v>
      </c>
      <c r="F1050" s="32" t="s">
        <v>116</v>
      </c>
    </row>
    <row r="1051" spans="1:6">
      <c r="A1051" s="29">
        <v>73443</v>
      </c>
      <c r="B1051" s="31" t="s">
        <v>1627</v>
      </c>
      <c r="C1051" s="31" t="s">
        <v>120</v>
      </c>
      <c r="D1051" s="31" t="s">
        <v>118</v>
      </c>
      <c r="E1051" s="31" t="s">
        <v>729</v>
      </c>
      <c r="F1051" s="32" t="s">
        <v>116</v>
      </c>
    </row>
    <row r="1052" spans="1:6">
      <c r="A1052" s="29">
        <v>73449</v>
      </c>
      <c r="B1052" s="31" t="s">
        <v>1628</v>
      </c>
      <c r="C1052" s="31" t="s">
        <v>120</v>
      </c>
      <c r="D1052" s="31" t="s">
        <v>138</v>
      </c>
      <c r="E1052" s="31" t="s">
        <v>729</v>
      </c>
      <c r="F1052" s="32" t="s">
        <v>125</v>
      </c>
    </row>
    <row r="1053" spans="1:6">
      <c r="A1053" s="29">
        <v>73461</v>
      </c>
      <c r="B1053" s="31" t="s">
        <v>1629</v>
      </c>
      <c r="C1053" s="31" t="s">
        <v>120</v>
      </c>
      <c r="D1053" s="31" t="s">
        <v>118</v>
      </c>
      <c r="E1053" s="31" t="s">
        <v>729</v>
      </c>
      <c r="F1053" s="32" t="s">
        <v>176</v>
      </c>
    </row>
    <row r="1054" spans="1:6">
      <c r="A1054" s="29">
        <v>73483</v>
      </c>
      <c r="B1054" s="31" t="s">
        <v>297</v>
      </c>
      <c r="C1054" s="31" t="s">
        <v>120</v>
      </c>
      <c r="D1054" s="31" t="s">
        <v>189</v>
      </c>
      <c r="E1054" s="31" t="s">
        <v>729</v>
      </c>
      <c r="F1054" s="32" t="s">
        <v>125</v>
      </c>
    </row>
    <row r="1055" spans="1:6">
      <c r="A1055" s="29">
        <v>73504</v>
      </c>
      <c r="B1055" s="31" t="s">
        <v>1630</v>
      </c>
      <c r="C1055" s="31" t="s">
        <v>120</v>
      </c>
      <c r="D1055" s="31" t="s">
        <v>118</v>
      </c>
      <c r="E1055" s="31" t="s">
        <v>729</v>
      </c>
      <c r="F1055" s="32" t="s">
        <v>116</v>
      </c>
    </row>
    <row r="1056" spans="1:6">
      <c r="A1056" s="29">
        <v>73520</v>
      </c>
      <c r="B1056" s="31" t="s">
        <v>1631</v>
      </c>
      <c r="C1056" s="31" t="s">
        <v>120</v>
      </c>
      <c r="D1056" s="31" t="s">
        <v>118</v>
      </c>
      <c r="E1056" s="31" t="s">
        <v>729</v>
      </c>
      <c r="F1056" s="32" t="s">
        <v>116</v>
      </c>
    </row>
    <row r="1057" spans="1:6">
      <c r="A1057" s="29">
        <v>73547</v>
      </c>
      <c r="B1057" s="31" t="s">
        <v>1632</v>
      </c>
      <c r="C1057" s="31" t="s">
        <v>120</v>
      </c>
      <c r="D1057" s="31" t="s">
        <v>118</v>
      </c>
      <c r="E1057" s="31" t="s">
        <v>729</v>
      </c>
      <c r="F1057" s="32" t="s">
        <v>125</v>
      </c>
    </row>
    <row r="1058" spans="1:6">
      <c r="A1058" s="29">
        <v>73555</v>
      </c>
      <c r="B1058" s="31" t="s">
        <v>1633</v>
      </c>
      <c r="C1058" s="31" t="s">
        <v>120</v>
      </c>
      <c r="D1058" s="31" t="s">
        <v>118</v>
      </c>
      <c r="E1058" s="31" t="s">
        <v>729</v>
      </c>
      <c r="F1058" s="32" t="s">
        <v>176</v>
      </c>
    </row>
    <row r="1059" spans="1:6">
      <c r="A1059" s="29">
        <v>73563</v>
      </c>
      <c r="B1059" s="31" t="s">
        <v>1634</v>
      </c>
      <c r="C1059" s="31" t="s">
        <v>120</v>
      </c>
      <c r="D1059" s="31" t="s">
        <v>118</v>
      </c>
      <c r="E1059" s="31" t="s">
        <v>729</v>
      </c>
      <c r="F1059" s="32" t="s">
        <v>116</v>
      </c>
    </row>
    <row r="1060" spans="1:6">
      <c r="A1060" s="29">
        <v>73585</v>
      </c>
      <c r="B1060" s="31" t="s">
        <v>1635</v>
      </c>
      <c r="C1060" s="31" t="s">
        <v>120</v>
      </c>
      <c r="D1060" s="31" t="s">
        <v>118</v>
      </c>
      <c r="E1060" s="31" t="s">
        <v>729</v>
      </c>
      <c r="F1060" s="32" t="s">
        <v>125</v>
      </c>
    </row>
    <row r="1061" spans="1:6">
      <c r="A1061" s="29">
        <v>73616</v>
      </c>
      <c r="B1061" s="31" t="s">
        <v>1636</v>
      </c>
      <c r="C1061" s="31" t="s">
        <v>120</v>
      </c>
      <c r="D1061" s="31" t="s">
        <v>118</v>
      </c>
      <c r="E1061" s="31" t="s">
        <v>729</v>
      </c>
      <c r="F1061" s="32" t="s">
        <v>176</v>
      </c>
    </row>
    <row r="1062" spans="1:6">
      <c r="A1062" s="29">
        <v>73622</v>
      </c>
      <c r="B1062" s="31" t="s">
        <v>1637</v>
      </c>
      <c r="C1062" s="31" t="s">
        <v>120</v>
      </c>
      <c r="D1062" s="31" t="s">
        <v>118</v>
      </c>
      <c r="E1062" s="31" t="s">
        <v>729</v>
      </c>
      <c r="F1062" s="32" t="s">
        <v>176</v>
      </c>
    </row>
    <row r="1063" spans="1:6">
      <c r="A1063" s="29">
        <v>73624</v>
      </c>
      <c r="B1063" s="31" t="s">
        <v>1638</v>
      </c>
      <c r="C1063" s="31" t="s">
        <v>120</v>
      </c>
      <c r="D1063" s="31" t="s">
        <v>118</v>
      </c>
      <c r="E1063" s="31" t="s">
        <v>729</v>
      </c>
      <c r="F1063" s="32" t="s">
        <v>116</v>
      </c>
    </row>
    <row r="1064" spans="1:6">
      <c r="A1064" s="29">
        <v>73671</v>
      </c>
      <c r="B1064" s="31" t="s">
        <v>121</v>
      </c>
      <c r="C1064" s="31" t="s">
        <v>120</v>
      </c>
      <c r="D1064" s="31" t="s">
        <v>118</v>
      </c>
      <c r="E1064" s="31" t="s">
        <v>729</v>
      </c>
      <c r="F1064" s="32" t="s">
        <v>125</v>
      </c>
    </row>
    <row r="1065" spans="1:6">
      <c r="A1065" s="29">
        <v>73675</v>
      </c>
      <c r="B1065" s="31" t="s">
        <v>1639</v>
      </c>
      <c r="C1065" s="31" t="s">
        <v>120</v>
      </c>
      <c r="D1065" s="31" t="s">
        <v>118</v>
      </c>
      <c r="E1065" s="31" t="s">
        <v>729</v>
      </c>
      <c r="F1065" s="32" t="s">
        <v>176</v>
      </c>
    </row>
    <row r="1066" spans="1:6">
      <c r="A1066" s="29">
        <v>73686</v>
      </c>
      <c r="B1066" s="31" t="s">
        <v>1640</v>
      </c>
      <c r="C1066" s="31" t="s">
        <v>120</v>
      </c>
      <c r="D1066" s="31" t="s">
        <v>118</v>
      </c>
      <c r="E1066" s="31" t="s">
        <v>729</v>
      </c>
      <c r="F1066" s="32" t="s">
        <v>116</v>
      </c>
    </row>
    <row r="1067" spans="1:6">
      <c r="A1067" s="29">
        <v>73854</v>
      </c>
      <c r="B1067" s="31" t="s">
        <v>1641</v>
      </c>
      <c r="C1067" s="31" t="s">
        <v>120</v>
      </c>
      <c r="D1067" s="31" t="s">
        <v>118</v>
      </c>
      <c r="E1067" s="31" t="s">
        <v>729</v>
      </c>
      <c r="F1067" s="32" t="s">
        <v>125</v>
      </c>
    </row>
    <row r="1068" spans="1:6">
      <c r="A1068" s="29">
        <v>73861</v>
      </c>
      <c r="B1068" s="31" t="s">
        <v>1642</v>
      </c>
      <c r="C1068" s="31" t="s">
        <v>120</v>
      </c>
      <c r="D1068" s="31" t="s">
        <v>118</v>
      </c>
      <c r="E1068" s="31" t="s">
        <v>729</v>
      </c>
      <c r="F1068" s="32" t="s">
        <v>125</v>
      </c>
    </row>
    <row r="1069" spans="1:6">
      <c r="A1069" s="29">
        <v>73870</v>
      </c>
      <c r="B1069" s="31" t="s">
        <v>1643</v>
      </c>
      <c r="C1069" s="31" t="s">
        <v>120</v>
      </c>
      <c r="D1069" s="31" t="s">
        <v>118</v>
      </c>
      <c r="E1069" s="31" t="s">
        <v>729</v>
      </c>
      <c r="F1069" s="32" t="s">
        <v>116</v>
      </c>
    </row>
    <row r="1070" spans="1:6">
      <c r="A1070" s="29">
        <v>73873</v>
      </c>
      <c r="B1070" s="31" t="s">
        <v>1644</v>
      </c>
      <c r="C1070" s="31" t="s">
        <v>120</v>
      </c>
      <c r="D1070" s="31" t="s">
        <v>118</v>
      </c>
      <c r="E1070" s="31" t="s">
        <v>729</v>
      </c>
      <c r="F1070" s="32" t="s">
        <v>116</v>
      </c>
    </row>
    <row r="1071" spans="1:6">
      <c r="A1071" s="29">
        <v>76054</v>
      </c>
      <c r="B1071" s="30" t="s">
        <v>728</v>
      </c>
      <c r="C1071" s="31" t="s">
        <v>97</v>
      </c>
      <c r="D1071" s="31" t="s">
        <v>530</v>
      </c>
      <c r="E1071" s="31" t="s">
        <v>729</v>
      </c>
      <c r="F1071" s="32" t="s">
        <v>116</v>
      </c>
    </row>
    <row r="1072" spans="1:6">
      <c r="A1072" s="29">
        <v>76100</v>
      </c>
      <c r="B1072" s="30" t="s">
        <v>228</v>
      </c>
      <c r="C1072" s="31" t="s">
        <v>97</v>
      </c>
      <c r="D1072" s="31" t="s">
        <v>530</v>
      </c>
      <c r="E1072" s="31" t="s">
        <v>729</v>
      </c>
      <c r="F1072" s="32" t="s">
        <v>125</v>
      </c>
    </row>
    <row r="1073" spans="1:6">
      <c r="A1073" s="29">
        <v>76130</v>
      </c>
      <c r="B1073" s="30" t="s">
        <v>848</v>
      </c>
      <c r="C1073" s="31" t="s">
        <v>97</v>
      </c>
      <c r="D1073" s="31" t="s">
        <v>95</v>
      </c>
      <c r="E1073" s="31" t="s">
        <v>729</v>
      </c>
      <c r="F1073" s="32" t="s">
        <v>125</v>
      </c>
    </row>
    <row r="1074" spans="1:6">
      <c r="A1074" s="29">
        <v>76400</v>
      </c>
      <c r="B1074" s="30" t="s">
        <v>739</v>
      </c>
      <c r="C1074" s="31" t="s">
        <v>97</v>
      </c>
      <c r="D1074" s="31" t="s">
        <v>530</v>
      </c>
      <c r="E1074" s="31" t="s">
        <v>729</v>
      </c>
      <c r="F1074" s="32" t="s">
        <v>125</v>
      </c>
    </row>
    <row r="1075" spans="1:6">
      <c r="A1075" s="29">
        <v>76403</v>
      </c>
      <c r="B1075" s="30" t="s">
        <v>715</v>
      </c>
      <c r="C1075" s="31" t="s">
        <v>97</v>
      </c>
      <c r="D1075" s="31" t="s">
        <v>530</v>
      </c>
      <c r="E1075" s="31" t="s">
        <v>729</v>
      </c>
      <c r="F1075" s="32" t="s">
        <v>125</v>
      </c>
    </row>
    <row r="1076" spans="1:6">
      <c r="A1076" s="29">
        <v>76606</v>
      </c>
      <c r="B1076" s="30" t="s">
        <v>1380</v>
      </c>
      <c r="C1076" s="31" t="s">
        <v>97</v>
      </c>
      <c r="D1076" s="31" t="s">
        <v>95</v>
      </c>
      <c r="E1076" s="31" t="s">
        <v>729</v>
      </c>
      <c r="F1076" s="32" t="s">
        <v>125</v>
      </c>
    </row>
    <row r="1077" spans="1:6">
      <c r="A1077" s="29">
        <v>76670</v>
      </c>
      <c r="B1077" s="30" t="s">
        <v>1581</v>
      </c>
      <c r="C1077" s="31" t="s">
        <v>97</v>
      </c>
      <c r="D1077" s="31" t="s">
        <v>95</v>
      </c>
      <c r="E1077" s="31" t="s">
        <v>729</v>
      </c>
      <c r="F1077" s="32" t="s">
        <v>125</v>
      </c>
    </row>
    <row r="1078" spans="1:6">
      <c r="A1078" s="29">
        <v>76020</v>
      </c>
      <c r="B1078" s="31" t="s">
        <v>1645</v>
      </c>
      <c r="C1078" s="31" t="s">
        <v>97</v>
      </c>
      <c r="D1078" s="31" t="s">
        <v>530</v>
      </c>
      <c r="E1078" s="31" t="s">
        <v>729</v>
      </c>
      <c r="F1078" s="32" t="s">
        <v>125</v>
      </c>
    </row>
    <row r="1079" spans="1:6">
      <c r="A1079" s="29">
        <v>76036</v>
      </c>
      <c r="B1079" s="31" t="s">
        <v>1646</v>
      </c>
      <c r="C1079" s="31" t="s">
        <v>97</v>
      </c>
      <c r="D1079" s="31" t="s">
        <v>95</v>
      </c>
      <c r="E1079" s="31" t="s">
        <v>729</v>
      </c>
      <c r="F1079" s="32" t="s">
        <v>125</v>
      </c>
    </row>
    <row r="1080" spans="1:6">
      <c r="A1080" s="29">
        <v>76041</v>
      </c>
      <c r="B1080" s="31" t="s">
        <v>1647</v>
      </c>
      <c r="C1080" s="31" t="s">
        <v>97</v>
      </c>
      <c r="D1080" s="31" t="s">
        <v>530</v>
      </c>
      <c r="E1080" s="31" t="s">
        <v>729</v>
      </c>
      <c r="F1080" s="32" t="s">
        <v>125</v>
      </c>
    </row>
    <row r="1081" spans="1:6">
      <c r="A1081" s="29">
        <v>76109</v>
      </c>
      <c r="B1081" s="31" t="s">
        <v>313</v>
      </c>
      <c r="C1081" s="31" t="s">
        <v>97</v>
      </c>
      <c r="D1081" s="31" t="s">
        <v>95</v>
      </c>
      <c r="E1081" s="31" t="s">
        <v>729</v>
      </c>
      <c r="F1081" s="32" t="s">
        <v>116</v>
      </c>
    </row>
    <row r="1082" spans="1:6">
      <c r="A1082" s="29">
        <v>76113</v>
      </c>
      <c r="B1082" s="31" t="s">
        <v>1648</v>
      </c>
      <c r="C1082" s="31" t="s">
        <v>97</v>
      </c>
      <c r="D1082" s="31" t="s">
        <v>95</v>
      </c>
      <c r="E1082" s="31" t="s">
        <v>729</v>
      </c>
      <c r="F1082" s="32" t="s">
        <v>125</v>
      </c>
    </row>
    <row r="1083" spans="1:6">
      <c r="A1083" s="29">
        <v>76122</v>
      </c>
      <c r="B1083" s="31" t="s">
        <v>1649</v>
      </c>
      <c r="C1083" s="31" t="s">
        <v>97</v>
      </c>
      <c r="D1083" s="31" t="s">
        <v>530</v>
      </c>
      <c r="E1083" s="31" t="s">
        <v>729</v>
      </c>
      <c r="F1083" s="32" t="s">
        <v>125</v>
      </c>
    </row>
    <row r="1084" spans="1:6">
      <c r="A1084" s="29">
        <v>76001</v>
      </c>
      <c r="B1084" s="31" t="s">
        <v>95</v>
      </c>
      <c r="C1084" s="31" t="s">
        <v>97</v>
      </c>
      <c r="D1084" s="31" t="s">
        <v>95</v>
      </c>
      <c r="E1084" s="31" t="s">
        <v>729</v>
      </c>
      <c r="F1084" s="32" t="s">
        <v>104</v>
      </c>
    </row>
    <row r="1085" spans="1:6">
      <c r="A1085" s="29">
        <v>76126</v>
      </c>
      <c r="B1085" s="31" t="s">
        <v>1650</v>
      </c>
      <c r="C1085" s="31" t="s">
        <v>97</v>
      </c>
      <c r="D1085" s="31" t="s">
        <v>95</v>
      </c>
      <c r="E1085" s="31" t="s">
        <v>729</v>
      </c>
      <c r="F1085" s="32" t="s">
        <v>125</v>
      </c>
    </row>
    <row r="1086" spans="1:6">
      <c r="A1086" s="29">
        <v>76147</v>
      </c>
      <c r="B1086" s="31" t="s">
        <v>1651</v>
      </c>
      <c r="C1086" s="31" t="s">
        <v>97</v>
      </c>
      <c r="D1086" s="31" t="s">
        <v>530</v>
      </c>
      <c r="E1086" s="31" t="s">
        <v>729</v>
      </c>
      <c r="F1086" s="32" t="s">
        <v>104</v>
      </c>
    </row>
    <row r="1087" spans="1:6">
      <c r="A1087" s="29">
        <v>76233</v>
      </c>
      <c r="B1087" s="31" t="s">
        <v>1652</v>
      </c>
      <c r="C1087" s="31" t="s">
        <v>97</v>
      </c>
      <c r="D1087" s="31" t="s">
        <v>95</v>
      </c>
      <c r="E1087" s="31" t="s">
        <v>729</v>
      </c>
      <c r="F1087" s="32" t="s">
        <v>125</v>
      </c>
    </row>
    <row r="1088" spans="1:6">
      <c r="A1088" s="29">
        <v>76243</v>
      </c>
      <c r="B1088" s="31" t="s">
        <v>1653</v>
      </c>
      <c r="C1088" s="31" t="s">
        <v>97</v>
      </c>
      <c r="D1088" s="31" t="s">
        <v>530</v>
      </c>
      <c r="E1088" s="31" t="s">
        <v>729</v>
      </c>
      <c r="F1088" s="32" t="s">
        <v>116</v>
      </c>
    </row>
    <row r="1089" spans="1:6">
      <c r="A1089" s="29">
        <v>76246</v>
      </c>
      <c r="B1089" s="31" t="s">
        <v>1654</v>
      </c>
      <c r="C1089" s="31" t="s">
        <v>97</v>
      </c>
      <c r="D1089" s="31" t="s">
        <v>530</v>
      </c>
      <c r="E1089" s="31" t="s">
        <v>729</v>
      </c>
      <c r="F1089" s="32" t="s">
        <v>116</v>
      </c>
    </row>
    <row r="1090" spans="1:6">
      <c r="A1090" s="29">
        <v>76248</v>
      </c>
      <c r="B1090" s="31" t="s">
        <v>1655</v>
      </c>
      <c r="C1090" s="31" t="s">
        <v>97</v>
      </c>
      <c r="D1090" s="31" t="s">
        <v>95</v>
      </c>
      <c r="E1090" s="31" t="s">
        <v>729</v>
      </c>
      <c r="F1090" s="32" t="s">
        <v>125</v>
      </c>
    </row>
    <row r="1091" spans="1:6">
      <c r="A1091" s="29">
        <v>76250</v>
      </c>
      <c r="B1091" s="31" t="s">
        <v>1656</v>
      </c>
      <c r="C1091" s="31" t="s">
        <v>97</v>
      </c>
      <c r="D1091" s="31" t="s">
        <v>530</v>
      </c>
      <c r="E1091" s="31" t="s">
        <v>729</v>
      </c>
      <c r="F1091" s="32" t="s">
        <v>125</v>
      </c>
    </row>
    <row r="1092" spans="1:6">
      <c r="A1092" s="29">
        <v>76275</v>
      </c>
      <c r="B1092" s="31" t="s">
        <v>1657</v>
      </c>
      <c r="C1092" s="31" t="s">
        <v>97</v>
      </c>
      <c r="D1092" s="31" t="s">
        <v>95</v>
      </c>
      <c r="E1092" s="31" t="s">
        <v>729</v>
      </c>
      <c r="F1092" s="32" t="s">
        <v>125</v>
      </c>
    </row>
    <row r="1093" spans="1:6">
      <c r="A1093" s="29">
        <v>76306</v>
      </c>
      <c r="B1093" s="31" t="s">
        <v>1658</v>
      </c>
      <c r="C1093" s="31" t="s">
        <v>97</v>
      </c>
      <c r="D1093" s="31" t="s">
        <v>95</v>
      </c>
      <c r="E1093" s="31" t="s">
        <v>729</v>
      </c>
      <c r="F1093" s="32" t="s">
        <v>125</v>
      </c>
    </row>
    <row r="1094" spans="1:6">
      <c r="A1094" s="29">
        <v>76318</v>
      </c>
      <c r="B1094" s="31" t="s">
        <v>1659</v>
      </c>
      <c r="C1094" s="31" t="s">
        <v>97</v>
      </c>
      <c r="D1094" s="31" t="s">
        <v>95</v>
      </c>
      <c r="E1094" s="31" t="s">
        <v>729</v>
      </c>
      <c r="F1094" s="32" t="s">
        <v>125</v>
      </c>
    </row>
    <row r="1095" spans="1:6">
      <c r="A1095" s="29">
        <v>76111</v>
      </c>
      <c r="B1095" s="31" t="s">
        <v>1660</v>
      </c>
      <c r="C1095" s="31" t="s">
        <v>97</v>
      </c>
      <c r="D1095" s="31" t="s">
        <v>95</v>
      </c>
      <c r="E1095" s="31" t="s">
        <v>729</v>
      </c>
      <c r="F1095" s="32" t="s">
        <v>125</v>
      </c>
    </row>
    <row r="1096" spans="1:6">
      <c r="A1096" s="29">
        <v>76364</v>
      </c>
      <c r="B1096" s="31" t="s">
        <v>269</v>
      </c>
      <c r="C1096" s="31" t="s">
        <v>97</v>
      </c>
      <c r="D1096" s="31" t="s">
        <v>95</v>
      </c>
      <c r="E1096" s="31" t="s">
        <v>729</v>
      </c>
      <c r="F1096" s="32" t="s">
        <v>125</v>
      </c>
    </row>
    <row r="1097" spans="1:6">
      <c r="A1097" s="29">
        <v>76377</v>
      </c>
      <c r="B1097" s="31" t="s">
        <v>1661</v>
      </c>
      <c r="C1097" s="31" t="s">
        <v>97</v>
      </c>
      <c r="D1097" s="31" t="s">
        <v>95</v>
      </c>
      <c r="E1097" s="31" t="s">
        <v>729</v>
      </c>
      <c r="F1097" s="32" t="s">
        <v>125</v>
      </c>
    </row>
    <row r="1098" spans="1:6">
      <c r="A1098" s="29">
        <v>76497</v>
      </c>
      <c r="B1098" s="31" t="s">
        <v>1662</v>
      </c>
      <c r="C1098" s="31" t="s">
        <v>97</v>
      </c>
      <c r="D1098" s="31" t="s">
        <v>530</v>
      </c>
      <c r="E1098" s="31" t="s">
        <v>729</v>
      </c>
      <c r="F1098" s="32" t="s">
        <v>125</v>
      </c>
    </row>
    <row r="1099" spans="1:6">
      <c r="A1099" s="29">
        <v>76520</v>
      </c>
      <c r="B1099" s="31" t="s">
        <v>307</v>
      </c>
      <c r="C1099" s="31" t="s">
        <v>97</v>
      </c>
      <c r="D1099" s="31" t="s">
        <v>95</v>
      </c>
      <c r="E1099" s="31" t="s">
        <v>729</v>
      </c>
      <c r="F1099" s="32" t="s">
        <v>104</v>
      </c>
    </row>
    <row r="1100" spans="1:6">
      <c r="A1100" s="29">
        <v>76563</v>
      </c>
      <c r="B1100" s="31" t="s">
        <v>1663</v>
      </c>
      <c r="C1100" s="31" t="s">
        <v>97</v>
      </c>
      <c r="D1100" s="31" t="s">
        <v>95</v>
      </c>
      <c r="E1100" s="31" t="s">
        <v>729</v>
      </c>
      <c r="F1100" s="32" t="s">
        <v>125</v>
      </c>
    </row>
    <row r="1101" spans="1:6">
      <c r="A1101" s="29">
        <v>76616</v>
      </c>
      <c r="B1101" s="31" t="s">
        <v>1664</v>
      </c>
      <c r="C1101" s="31" t="s">
        <v>97</v>
      </c>
      <c r="D1101" s="31" t="s">
        <v>95</v>
      </c>
      <c r="E1101" s="31" t="s">
        <v>729</v>
      </c>
      <c r="F1101" s="32" t="s">
        <v>125</v>
      </c>
    </row>
    <row r="1102" spans="1:6">
      <c r="A1102" s="29">
        <v>76622</v>
      </c>
      <c r="B1102" s="31" t="s">
        <v>1665</v>
      </c>
      <c r="C1102" s="31" t="s">
        <v>97</v>
      </c>
      <c r="D1102" s="31" t="s">
        <v>530</v>
      </c>
      <c r="E1102" s="31" t="s">
        <v>729</v>
      </c>
      <c r="F1102" s="32" t="s">
        <v>116</v>
      </c>
    </row>
    <row r="1103" spans="1:6">
      <c r="A1103" s="29">
        <v>76736</v>
      </c>
      <c r="B1103" s="31" t="s">
        <v>1666</v>
      </c>
      <c r="C1103" s="31" t="s">
        <v>97</v>
      </c>
      <c r="D1103" s="31" t="s">
        <v>530</v>
      </c>
      <c r="E1103" s="31" t="s">
        <v>729</v>
      </c>
      <c r="F1103" s="32" t="s">
        <v>125</v>
      </c>
    </row>
    <row r="1104" spans="1:6">
      <c r="A1104" s="29">
        <v>76823</v>
      </c>
      <c r="B1104" s="31" t="s">
        <v>1667</v>
      </c>
      <c r="C1104" s="31" t="s">
        <v>97</v>
      </c>
      <c r="D1104" s="31" t="s">
        <v>530</v>
      </c>
      <c r="E1104" s="31" t="s">
        <v>729</v>
      </c>
      <c r="F1104" s="32" t="s">
        <v>125</v>
      </c>
    </row>
    <row r="1105" spans="1:6">
      <c r="A1105" s="29">
        <v>76828</v>
      </c>
      <c r="B1105" s="31" t="s">
        <v>1668</v>
      </c>
      <c r="C1105" s="31" t="s">
        <v>97</v>
      </c>
      <c r="D1105" s="31" t="s">
        <v>530</v>
      </c>
      <c r="E1105" s="31" t="s">
        <v>729</v>
      </c>
      <c r="F1105" s="32" t="s">
        <v>125</v>
      </c>
    </row>
    <row r="1106" spans="1:6">
      <c r="A1106" s="29">
        <v>76834</v>
      </c>
      <c r="B1106" s="31" t="s">
        <v>333</v>
      </c>
      <c r="C1106" s="31" t="s">
        <v>97</v>
      </c>
      <c r="D1106" s="31" t="s">
        <v>95</v>
      </c>
      <c r="E1106" s="31" t="s">
        <v>729</v>
      </c>
      <c r="F1106" s="32" t="s">
        <v>125</v>
      </c>
    </row>
    <row r="1107" spans="1:6">
      <c r="A1107" s="29">
        <v>76845</v>
      </c>
      <c r="B1107" s="31" t="s">
        <v>1669</v>
      </c>
      <c r="C1107" s="31" t="s">
        <v>97</v>
      </c>
      <c r="D1107" s="31" t="s">
        <v>530</v>
      </c>
      <c r="E1107" s="31" t="s">
        <v>729</v>
      </c>
      <c r="F1107" s="32" t="s">
        <v>125</v>
      </c>
    </row>
    <row r="1108" spans="1:6">
      <c r="A1108" s="29">
        <v>76863</v>
      </c>
      <c r="B1108" s="31" t="s">
        <v>1670</v>
      </c>
      <c r="C1108" s="31" t="s">
        <v>97</v>
      </c>
      <c r="D1108" s="31" t="s">
        <v>530</v>
      </c>
      <c r="E1108" s="31" t="s">
        <v>729</v>
      </c>
      <c r="F1108" s="32" t="s">
        <v>116</v>
      </c>
    </row>
    <row r="1109" spans="1:6">
      <c r="A1109" s="29">
        <v>76869</v>
      </c>
      <c r="B1109" s="31" t="s">
        <v>1671</v>
      </c>
      <c r="C1109" s="31" t="s">
        <v>97</v>
      </c>
      <c r="D1109" s="31" t="s">
        <v>95</v>
      </c>
      <c r="E1109" s="31" t="s">
        <v>729</v>
      </c>
      <c r="F1109" s="32" t="s">
        <v>125</v>
      </c>
    </row>
    <row r="1110" spans="1:6">
      <c r="A1110" s="29">
        <v>76890</v>
      </c>
      <c r="B1110" s="31" t="s">
        <v>1672</v>
      </c>
      <c r="C1110" s="31" t="s">
        <v>97</v>
      </c>
      <c r="D1110" s="31" t="s">
        <v>95</v>
      </c>
      <c r="E1110" s="31" t="s">
        <v>729</v>
      </c>
      <c r="F1110" s="32" t="s">
        <v>125</v>
      </c>
    </row>
    <row r="1111" spans="1:6">
      <c r="A1111" s="29">
        <v>76892</v>
      </c>
      <c r="B1111" s="31" t="s">
        <v>1673</v>
      </c>
      <c r="C1111" s="31" t="s">
        <v>97</v>
      </c>
      <c r="D1111" s="31" t="s">
        <v>95</v>
      </c>
      <c r="E1111" s="31" t="s">
        <v>729</v>
      </c>
      <c r="F1111" s="32" t="s">
        <v>104</v>
      </c>
    </row>
    <row r="1112" spans="1:6">
      <c r="A1112" s="29">
        <v>76895</v>
      </c>
      <c r="B1112" s="31" t="s">
        <v>1674</v>
      </c>
      <c r="C1112" s="31" t="s">
        <v>97</v>
      </c>
      <c r="D1112" s="31" t="s">
        <v>530</v>
      </c>
      <c r="E1112" s="31" t="s">
        <v>729</v>
      </c>
      <c r="F1112" s="32" t="s">
        <v>116</v>
      </c>
    </row>
    <row r="1113" spans="1:6">
      <c r="A1113" s="29">
        <v>97161</v>
      </c>
      <c r="B1113" s="31" t="s">
        <v>1675</v>
      </c>
      <c r="C1113" s="31" t="s">
        <v>1676</v>
      </c>
      <c r="D1113" s="31" t="s">
        <v>106</v>
      </c>
      <c r="E1113" s="31" t="s">
        <v>717</v>
      </c>
      <c r="F1113" s="32" t="s">
        <v>93</v>
      </c>
    </row>
    <row r="1114" spans="1:6">
      <c r="A1114" s="29">
        <v>97001</v>
      </c>
      <c r="B1114" s="31" t="s">
        <v>1677</v>
      </c>
      <c r="C1114" s="31" t="s">
        <v>1676</v>
      </c>
      <c r="D1114" s="31" t="s">
        <v>138</v>
      </c>
      <c r="E1114" s="31" t="s">
        <v>717</v>
      </c>
      <c r="F1114" s="32" t="s">
        <v>93</v>
      </c>
    </row>
    <row r="1115" spans="1:6">
      <c r="A1115" s="29">
        <v>97511</v>
      </c>
      <c r="B1115" s="31" t="s">
        <v>1678</v>
      </c>
      <c r="C1115" s="31" t="s">
        <v>1676</v>
      </c>
      <c r="D1115" s="31" t="s">
        <v>106</v>
      </c>
      <c r="E1115" s="31" t="s">
        <v>717</v>
      </c>
      <c r="F1115" s="32" t="s">
        <v>93</v>
      </c>
    </row>
    <row r="1116" spans="1:6">
      <c r="A1116" s="29">
        <v>97777</v>
      </c>
      <c r="B1116" s="31" t="s">
        <v>1679</v>
      </c>
      <c r="C1116" s="31" t="s">
        <v>1676</v>
      </c>
      <c r="D1116" s="31" t="s">
        <v>106</v>
      </c>
      <c r="E1116" s="31" t="s">
        <v>717</v>
      </c>
      <c r="F1116" s="32" t="s">
        <v>93</v>
      </c>
    </row>
    <row r="1117" spans="1:6">
      <c r="A1117" s="29">
        <v>97666</v>
      </c>
      <c r="B1117" s="31" t="s">
        <v>1680</v>
      </c>
      <c r="C1117" s="31" t="s">
        <v>1676</v>
      </c>
      <c r="D1117" s="31" t="s">
        <v>106</v>
      </c>
      <c r="E1117" s="31" t="s">
        <v>717</v>
      </c>
      <c r="F1117" s="32" t="s">
        <v>93</v>
      </c>
    </row>
    <row r="1118" spans="1:6">
      <c r="A1118" s="29">
        <v>97889</v>
      </c>
      <c r="B1118" s="31" t="s">
        <v>1681</v>
      </c>
      <c r="C1118" s="31" t="s">
        <v>1676</v>
      </c>
      <c r="D1118" s="31" t="s">
        <v>106</v>
      </c>
      <c r="E1118" s="31" t="s">
        <v>717</v>
      </c>
      <c r="F1118" s="32" t="s">
        <v>93</v>
      </c>
    </row>
    <row r="1119" spans="1:6">
      <c r="A1119" s="29">
        <v>99773</v>
      </c>
      <c r="B1119" s="31" t="s">
        <v>1682</v>
      </c>
      <c r="C1119" s="31" t="s">
        <v>1683</v>
      </c>
      <c r="D1119" s="31" t="s">
        <v>106</v>
      </c>
      <c r="E1119" s="31" t="s">
        <v>717</v>
      </c>
      <c r="F1119" s="32" t="s">
        <v>93</v>
      </c>
    </row>
    <row r="1120" spans="1:6">
      <c r="A1120" s="29">
        <v>99524</v>
      </c>
      <c r="B1120" s="31" t="s">
        <v>1684</v>
      </c>
      <c r="C1120" s="31" t="s">
        <v>1683</v>
      </c>
      <c r="D1120" s="31" t="s">
        <v>106</v>
      </c>
      <c r="E1120" s="31" t="s">
        <v>717</v>
      </c>
      <c r="F1120" s="32" t="s">
        <v>93</v>
      </c>
    </row>
    <row r="1121" spans="1:6">
      <c r="A1121" s="29">
        <v>99001</v>
      </c>
      <c r="B1121" s="31" t="s">
        <v>1685</v>
      </c>
      <c r="C1121" s="31" t="s">
        <v>1683</v>
      </c>
      <c r="D1121" s="31" t="s">
        <v>138</v>
      </c>
      <c r="E1121" s="31" t="s">
        <v>717</v>
      </c>
      <c r="F1121" s="32" t="s">
        <v>93</v>
      </c>
    </row>
    <row r="1122" spans="1:6">
      <c r="A1122" s="29">
        <v>99624</v>
      </c>
      <c r="B1122" s="31" t="s">
        <v>1686</v>
      </c>
      <c r="C1122" s="31" t="s">
        <v>1683</v>
      </c>
      <c r="D1122" s="31" t="s">
        <v>106</v>
      </c>
      <c r="E1122" s="31" t="s">
        <v>717</v>
      </c>
      <c r="F1122" s="32" t="s">
        <v>93</v>
      </c>
    </row>
    <row r="1123" spans="1:6">
      <c r="A1123" s="29">
        <v>23815</v>
      </c>
      <c r="B1123" s="31" t="s">
        <v>1687</v>
      </c>
      <c r="C1123" s="31" t="s">
        <v>340</v>
      </c>
      <c r="D1123" s="31" t="s">
        <v>338</v>
      </c>
      <c r="E1123" s="31" t="s">
        <v>729</v>
      </c>
      <c r="F1123" s="32" t="s">
        <v>116</v>
      </c>
    </row>
    <row r="1124" spans="1:6">
      <c r="A1124" s="29">
        <v>23682</v>
      </c>
      <c r="B1124" s="31" t="s">
        <v>1688</v>
      </c>
      <c r="C1124" s="31" t="s">
        <v>340</v>
      </c>
      <c r="D1124" s="31" t="s">
        <v>338</v>
      </c>
      <c r="E1124" s="31" t="s">
        <v>729</v>
      </c>
      <c r="F1124" s="32" t="s">
        <v>116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972C-EFDE-4E2F-A236-33A355414275}">
  <dimension ref="A1:D23"/>
  <sheetViews>
    <sheetView topLeftCell="A7" workbookViewId="0">
      <selection activeCell="E17" sqref="E17"/>
    </sheetView>
  </sheetViews>
  <sheetFormatPr defaultColWidth="11.42578125" defaultRowHeight="14.45"/>
  <cols>
    <col min="1" max="1" width="15.28515625" bestFit="1" customWidth="1"/>
    <col min="2" max="2" width="18.28515625" bestFit="1" customWidth="1"/>
    <col min="3" max="3" width="30.28515625" bestFit="1" customWidth="1"/>
    <col min="4" max="4" width="34.140625" bestFit="1" customWidth="1"/>
  </cols>
  <sheetData>
    <row r="1" spans="1:4">
      <c r="A1" s="17" t="s">
        <v>56</v>
      </c>
      <c r="B1" s="17" t="s">
        <v>1689</v>
      </c>
      <c r="C1" s="17" t="s">
        <v>1690</v>
      </c>
      <c r="D1" s="22" t="s">
        <v>31</v>
      </c>
    </row>
    <row r="2" spans="1:4">
      <c r="A2" s="34" t="s">
        <v>78</v>
      </c>
      <c r="B2" s="35" t="s">
        <v>42</v>
      </c>
      <c r="C2" s="35" t="s">
        <v>1691</v>
      </c>
      <c r="D2" s="35" t="s">
        <v>41</v>
      </c>
    </row>
    <row r="3" spans="1:4">
      <c r="A3" s="36" t="s">
        <v>603</v>
      </c>
      <c r="B3" s="37" t="s">
        <v>40</v>
      </c>
      <c r="C3" s="37" t="s">
        <v>1692</v>
      </c>
      <c r="D3" s="37" t="s">
        <v>39</v>
      </c>
    </row>
    <row r="4" spans="1:4">
      <c r="A4" s="36" t="s">
        <v>138</v>
      </c>
      <c r="B4" s="37" t="s">
        <v>48</v>
      </c>
      <c r="C4" s="37" t="s">
        <v>1693</v>
      </c>
      <c r="D4" s="37" t="s">
        <v>47</v>
      </c>
    </row>
    <row r="5" spans="1:4">
      <c r="A5" s="36" t="s">
        <v>169</v>
      </c>
      <c r="B5" s="37" t="s">
        <v>46</v>
      </c>
      <c r="C5" s="37" t="s">
        <v>1694</v>
      </c>
      <c r="D5" s="37" t="s">
        <v>45</v>
      </c>
    </row>
    <row r="6" spans="1:4">
      <c r="A6" s="36" t="s">
        <v>95</v>
      </c>
      <c r="B6" s="37" t="s">
        <v>38</v>
      </c>
      <c r="C6" s="37" t="s">
        <v>1695</v>
      </c>
      <c r="D6" s="37" t="s">
        <v>36</v>
      </c>
    </row>
    <row r="7" spans="1:4">
      <c r="A7" s="36" t="s">
        <v>226</v>
      </c>
      <c r="B7" s="37" t="s">
        <v>40</v>
      </c>
      <c r="C7" s="37" t="s">
        <v>1692</v>
      </c>
      <c r="D7" s="37" t="s">
        <v>39</v>
      </c>
    </row>
    <row r="8" spans="1:4">
      <c r="A8" s="36" t="s">
        <v>247</v>
      </c>
      <c r="B8" s="37" t="s">
        <v>46</v>
      </c>
      <c r="C8" s="37" t="s">
        <v>1694</v>
      </c>
      <c r="D8" s="37" t="s">
        <v>45</v>
      </c>
    </row>
    <row r="9" spans="1:4">
      <c r="A9" s="36" t="s">
        <v>1054</v>
      </c>
      <c r="B9" s="37" t="s">
        <v>44</v>
      </c>
      <c r="C9" s="37" t="s">
        <v>1696</v>
      </c>
      <c r="D9" s="37" t="s">
        <v>43</v>
      </c>
    </row>
    <row r="10" spans="1:4">
      <c r="A10" s="36" t="s">
        <v>118</v>
      </c>
      <c r="B10" s="37" t="s">
        <v>44</v>
      </c>
      <c r="C10" s="37" t="s">
        <v>1696</v>
      </c>
      <c r="D10" s="37" t="s">
        <v>43</v>
      </c>
    </row>
    <row r="11" spans="1:4">
      <c r="A11" s="36" t="s">
        <v>1028</v>
      </c>
      <c r="B11" s="37" t="s">
        <v>37</v>
      </c>
      <c r="C11" s="37" t="s">
        <v>1697</v>
      </c>
      <c r="D11" s="37" t="s">
        <v>36</v>
      </c>
    </row>
    <row r="12" spans="1:4">
      <c r="A12" s="36" t="s">
        <v>127</v>
      </c>
      <c r="B12" s="37" t="s">
        <v>42</v>
      </c>
      <c r="C12" s="37" t="s">
        <v>1691</v>
      </c>
      <c r="D12" s="37" t="s">
        <v>41</v>
      </c>
    </row>
    <row r="13" spans="1:4">
      <c r="A13" s="36" t="s">
        <v>338</v>
      </c>
      <c r="B13" s="37" t="s">
        <v>40</v>
      </c>
      <c r="C13" s="37" t="s">
        <v>1692</v>
      </c>
      <c r="D13" s="37" t="s">
        <v>39</v>
      </c>
    </row>
    <row r="14" spans="1:4">
      <c r="A14" s="36" t="s">
        <v>189</v>
      </c>
      <c r="B14" s="37" t="s">
        <v>44</v>
      </c>
      <c r="C14" s="37" t="s">
        <v>1696</v>
      </c>
      <c r="D14" s="37" t="s">
        <v>43</v>
      </c>
    </row>
    <row r="15" spans="1:4">
      <c r="A15" s="36" t="s">
        <v>239</v>
      </c>
      <c r="B15" s="37" t="s">
        <v>38</v>
      </c>
      <c r="C15" s="37" t="s">
        <v>1695</v>
      </c>
      <c r="D15" s="37" t="s">
        <v>36</v>
      </c>
    </row>
    <row r="16" spans="1:4">
      <c r="A16" s="36" t="s">
        <v>530</v>
      </c>
      <c r="B16" s="37" t="s">
        <v>37</v>
      </c>
      <c r="C16" s="37" t="s">
        <v>1697</v>
      </c>
      <c r="D16" s="37" t="s">
        <v>36</v>
      </c>
    </row>
    <row r="17" spans="1:4">
      <c r="A17" s="36" t="s">
        <v>1106</v>
      </c>
      <c r="B17" s="37" t="s">
        <v>38</v>
      </c>
      <c r="C17" s="37" t="s">
        <v>1695</v>
      </c>
      <c r="D17" s="37" t="s">
        <v>36</v>
      </c>
    </row>
    <row r="18" spans="1:4">
      <c r="A18" s="36" t="s">
        <v>260</v>
      </c>
      <c r="B18" s="37" t="s">
        <v>40</v>
      </c>
      <c r="C18" s="37" t="s">
        <v>1692</v>
      </c>
      <c r="D18" s="37" t="s">
        <v>39</v>
      </c>
    </row>
    <row r="19" spans="1:4">
      <c r="A19" s="36" t="s">
        <v>1580</v>
      </c>
      <c r="B19" s="37" t="s">
        <v>40</v>
      </c>
      <c r="C19" s="37" t="s">
        <v>1692</v>
      </c>
      <c r="D19" s="37" t="s">
        <v>39</v>
      </c>
    </row>
    <row r="20" spans="1:4">
      <c r="A20" s="36" t="s">
        <v>152</v>
      </c>
      <c r="B20" s="37" t="s">
        <v>46</v>
      </c>
      <c r="C20" s="37" t="s">
        <v>1694</v>
      </c>
      <c r="D20" s="37" t="s">
        <v>45</v>
      </c>
    </row>
    <row r="21" spans="1:4">
      <c r="A21" s="36" t="s">
        <v>391</v>
      </c>
      <c r="B21" s="37" t="s">
        <v>40</v>
      </c>
      <c r="C21" s="37" t="s">
        <v>1692</v>
      </c>
      <c r="D21" s="37" t="s">
        <v>39</v>
      </c>
    </row>
    <row r="22" spans="1:4">
      <c r="A22" s="36" t="s">
        <v>106</v>
      </c>
      <c r="B22" s="37" t="s">
        <v>44</v>
      </c>
      <c r="C22" s="37" t="s">
        <v>1696</v>
      </c>
      <c r="D22" s="37" t="s">
        <v>43</v>
      </c>
    </row>
    <row r="23" spans="1:4">
      <c r="A23" s="36" t="s">
        <v>970</v>
      </c>
      <c r="B23" s="37" t="s">
        <v>44</v>
      </c>
      <c r="C23" s="37" t="s">
        <v>1696</v>
      </c>
      <c r="D23" s="37" t="s">
        <v>43</v>
      </c>
    </row>
  </sheetData>
  <autoFilter ref="A1:D23" xr:uid="{72E9972C-EFDE-4E2F-A236-33A35541427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1af35ee29490cb16462bfe4830e440c0">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41995a57b18272937ca9dd89fffb3d1b"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CDE0AF-92C7-4B87-96B6-7C3DA7BA6CBB}"/>
</file>

<file path=customXml/itemProps2.xml><?xml version="1.0" encoding="utf-8"?>
<ds:datastoreItem xmlns:ds="http://schemas.openxmlformats.org/officeDocument/2006/customXml" ds:itemID="{0866F74B-519F-4C27-B544-8E91289FDD73}"/>
</file>

<file path=customXml/itemProps3.xml><?xml version="1.0" encoding="utf-8"?>
<ds:datastoreItem xmlns:ds="http://schemas.openxmlformats.org/officeDocument/2006/customXml" ds:itemID="{690AF1CE-8F39-4AE7-8649-5969BF5C95C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dc:creator>
  <cp:keywords/>
  <dc:description/>
  <cp:lastModifiedBy/>
  <cp:revision/>
  <dcterms:created xsi:type="dcterms:W3CDTF">2015-11-09T13:46:27Z</dcterms:created>
  <dcterms:modified xsi:type="dcterms:W3CDTF">2025-09-04T04:02:02Z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